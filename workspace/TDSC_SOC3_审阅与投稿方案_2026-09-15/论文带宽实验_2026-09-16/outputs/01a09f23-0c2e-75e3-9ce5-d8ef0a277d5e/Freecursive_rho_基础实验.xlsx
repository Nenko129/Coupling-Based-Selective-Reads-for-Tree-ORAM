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84b922e33742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结果" sheetId="1" r:id="R1252f0280da249d6"/>
    <x:sheet xmlns:r="http://schemas.openxmlformats.org/officeDocument/2006/relationships" name="配对计算" sheetId="2" r:id="R29aeabca093c4971"/>
    <x:sheet xmlns:r="http://schemas.openxmlformats.org/officeDocument/2006/relationships" name="原始运行" sheetId="3" r:id="Rc35ab9efc7a4434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"/>
    <x:numFmt numFmtId="202" formatCode="0.00%"/>
    <x:numFmt numFmtId="203" formatCode="0.000000"/>
  </x:numFmts>
  <x:fonts count="5">
    <x:font>
      <x:sz val="11"/>
      <x:name val="Carlito"/>
    </x:font>
    <x:font>
      <x:sz val="10"/>
      <x:color rgb="FF243746"/>
      <x:name val="Arial"/>
    </x:font>
    <x:font>
      <x:b/>
      <x:sz val="10"/>
      <x:color rgb="FFFFFFFF"/>
      <x:name val="Arial"/>
    </x:font>
    <x:font>
      <x:b/>
      <x:sz val="15"/>
      <x:color rgb="FF243B53"/>
      <x:name val="Arial"/>
    </x:font>
    <x:font>
      <x:b/>
      <x:sz val="10"/>
      <x:color rgb="FF243746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3B53"/>
      </x:patternFill>
    </x:fill>
    <x:fill>
      <x:patternFill patternType="solid">
        <x:fgColor rgb="FFEDF2F7"/>
      </x:patternFill>
    </x:fill>
  </x:fills>
  <x:borders count="1">
    <x:border/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vertical="center"/>
    </x:xf>
    <x:xf numFmtId="202" fontId="4" fillId="3" borderId="0" xfId="0" applyNumberFormat="1" applyFont="1" applyFill="1" applyBorder="1" applyAlignment="1">
      <x:alignment vertical="center"/>
    </x:xf>
    <x:xf numFmtId="202" fontId="4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41e4d576454da3" /><Relationship Type="http://schemas.openxmlformats.org/officeDocument/2006/relationships/theme" Target="/xl/theme/theme1.xml" Id="R35da22da9a824121" /><Relationship Type="http://schemas.openxmlformats.org/officeDocument/2006/relationships/sharedStrings" Target="/xl/sharedStrings.xml" Id="R87b584458bc24baa" /><Relationship Type="http://schemas.openxmlformats.org/officeDocument/2006/relationships/worksheet" Target="/xl/worksheets/sheet1.xml" Id="R1252f0280da249d6" /><Relationship Type="http://schemas.openxmlformats.org/officeDocument/2006/relationships/worksheet" Target="/xl/worksheets/sheet2.xml" Id="R29aeabca093c4971" /><Relationship Type="http://schemas.openxmlformats.org/officeDocument/2006/relationships/worksheet" Target="/xl/worksheets/sheet3.xml" Id="Rc35ab9efc7a44343" /></Relationships>
</file>

<file path=xl/tables/table1.xml><?xml version="1.0" encoding="utf-8"?>
<x:table xmlns:x="http://schemas.openxmlformats.org/spreadsheetml/2006/main" id="2" name="PairedRuns" displayName="PairedRuns" ref="A5:H125" headerRowCount="1" totalsRowCount="0" totalsRowShown="0">
  <x:tableColumns count="8">
    <x:tableColumn id="1" name="比较组"/>
    <x:tableColumn id="2" name="种子"/>
    <x:tableColumn id="3" name="基线运行ID"/>
    <x:tableColumn id="4" name="selective运行ID"/>
    <x:tableColumn id="5" name="基线字节/请求"/>
    <x:tableColumn id="6" name="selective字节/请求"/>
    <x:tableColumn id="7" name="节省率"/>
    <x:tableColumn id="8" name="节省率平方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RawRuns" displayName="RawRuns" ref="A1:V241" headerRowCount="1" totalsRowCount="0" totalsRowShown="0">
  <x:tableColumns count="22">
    <x:tableColumn id="1" name="运行ID"/>
    <x:tableColumn id="2" name="前端"/>
    <x:tableColumn id="3" name="工作负载"/>
    <x:tableColumn id="4" name="后端"/>
    <x:tableColumn id="5" name="种子"/>
    <x:tableColumn id="6" name="N（块）"/>
    <x:tableColumn id="7" name="B（字节）"/>
    <x:tableColumn id="8" name="请求数"/>
    <x:tableColumn id="9" name="总字节"/>
    <x:tableColumn id="10" name="下行字节"/>
    <x:tableColumn id="11" name="上行字节"/>
    <x:tableColumn id="12" name="RPC"/>
    <x:tableColumn id="13" name="数据下行字节"/>
    <x:tableColumn id="14" name="数据上行字节"/>
    <x:tableColumn id="15" name="头部下行字节"/>
    <x:tableColumn id="16" name="头部上行字节"/>
    <x:tableColumn id="17" name="认证下行字节"/>
    <x:tableColumn id="18" name="认证上行字节"/>
    <x:tableColumn id="19" name="帧及控制字节"/>
    <x:tableColumn id="20" name="参数Z/A/S"/>
    <x:tableColumn id="21" name="原始证据相对路径"/>
    <x:tableColumn id="22" name="SHA-256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58940d259ac466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ba27de0ab434566" /></Relationships>
</file>

<file path=xl/worksheets/sheet1.xml><?xml version="1.0" encoding="utf-8"?>
<x:worksheet xmlns:x="http://schemas.openxmlformats.org/spreadsheetml/2006/main">
  <x:sheetPr>
    <x:tabColor rgb="FF243B53"/>
  </x:sheetPr>
  <x:sheetViews>
    <x:sheetView showGridLines="0" workbookViewId="0"/>
  </x:sheetViews>
  <x:sheetFormatPr defaultRowHeight="15"/>
  <x:cols>
    <x:col min="1" max="1" width="62" hidden="0" customWidth="1"/>
    <x:col min="2" max="2" width="12" hidden="0" customWidth="1"/>
    <x:col min="3" max="3" width="23" hidden="0" customWidth="1"/>
    <x:col min="4" max="4" width="23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</x:row>
    <x:row r="2" ht="22" customHeight="1">
      <x:c r="A2" s="7" t="str">
        <x:v>Freecursive 与 ρ 通信量实验</x:v>
      </x:c>
      <x:c r="B2" s="2"/>
      <x:c r="C2" s="2"/>
      <x:c r="D2" s="2"/>
      <x:c r="E2" s="2"/>
      <x:c r="F2" s="2"/>
      <x:c r="G2" s="2"/>
      <x:c r="H2" s="2"/>
    </x:row>
    <x:row r="3" ht="22" customHeight="1">
      <x:c r="A3" s="2" t="str">
        <x:v>N=4,096，B=64字节。每组5次独立运行，预热2,048次，测量4,096次。</x:v>
      </x:c>
      <x:c r="B3" s="2"/>
      <x:c r="C3" s="2"/>
      <x:c r="D3" s="2"/>
      <x:c r="E3" s="2"/>
      <x:c r="F3" s="2"/>
      <x:c r="G3" s="2"/>
      <x:c r="H3" s="2"/>
    </x:row>
    <x:row r="4" ht="22" customHeight="1">
      <x:c r="A4" s="2" t="str">
        <x:v>双向协议通信含密文、头部、认证和帧开销。范围为已实现组件。</x:v>
      </x:c>
      <x:c r="B4" s="2"/>
      <x:c r="C4" s="2"/>
      <x:c r="D4" s="2"/>
      <x:c r="E4" s="2"/>
      <x:c r="F4" s="2"/>
      <x:c r="G4" s="2"/>
      <x:c r="H4" s="2"/>
    </x:row>
    <x:row r="5" ht="22" customHeight="1">
      <x:c r="A5" s="2" t="str">
        <x:v>t 临界值（双侧95%，自由度4）</x:v>
      </x:c>
      <x:c r="B5" s="10" t="n">
        <x:v>2.7764451051977987</x:v>
      </x:c>
      <x:c r="C5" s="2"/>
      <x:c r="D5" s="2"/>
      <x:c r="E5" s="2"/>
      <x:c r="F5" s="2"/>
      <x:c r="G5" s="2"/>
      <x:c r="H5" s="2"/>
    </x:row>
    <x:row r="6" ht="22" customHeight="1">
      <x:c r="A6" s="2"/>
      <x:c r="B6" s="2"/>
      <x:c r="C6" s="2"/>
      <x:c r="D6" s="2"/>
      <x:c r="E6" s="2"/>
      <x:c r="F6" s="2"/>
      <x:c r="G6" s="2"/>
      <x:c r="H6" s="2"/>
    </x:row>
    <x:row r="7" ht="28" customHeight="1">
      <x:c r="A7" s="6" t="str">
        <x:v>比较组</x:v>
      </x:c>
      <x:c r="B7" s="6" t="str">
        <x:v>重复数</x:v>
      </x:c>
      <x:c r="C7" s="6" t="str">
        <x:v>基线字节/请求</x:v>
      </x:c>
      <x:c r="D7" s="6" t="str">
        <x:v>selective字节/请求</x:v>
      </x:c>
      <x:c r="E7" s="6" t="str">
        <x:v>平均节省</x:v>
      </x:c>
      <x:c r="F7" s="6" t="str">
        <x:v>样本标准差</x:v>
      </x:c>
      <x:c r="G7" s="6" t="str">
        <x:v>95%下限</x:v>
      </x:c>
      <x:c r="H7" s="6" t="str">
        <x:v>95%上限</x:v>
      </x:c>
    </x:row>
    <x:row r="8" ht="22" customHeight="1">
      <x:c r="A8" s="11" t="str">
        <x:v>free_raw / uniform / sde vs deferred</x:v>
      </x:c>
      <x:c r="B8" s="11" t="n">
        <x:f>COUNTIFS('配对计算'!$A$6:$A$125,$A8)</x:f>
        <x:v>5</x:v>
      </x:c>
      <x:c r="C8" s="12" t="n">
        <x:f>AVERAGEIFS('配对计算'!$E$6:$E$125,'配对计算'!$A$6:$A$125,$A8)</x:f>
        <x:v>48979.828125</x:v>
      </x:c>
      <x:c r="D8" s="12" t="n">
        <x:f>AVERAGEIFS('配对计算'!$F$6:$F$125,'配对计算'!$A$6:$A$125,$A8)</x:f>
        <x:v>38276.415234375</x:v>
      </x:c>
      <x:c r="E8" s="14" t="n">
        <x:f>AVERAGEIFS('配对计算'!$G$6:$G$125,'配对计算'!$A$6:$A$125,$A8)</x:f>
        <x:v>0.21852638823073187</x:v>
      </x:c>
      <x:c r="F8" s="13" t="n">
        <x:f>SQRT(MAX(0,(SUMIFS('配对计算'!$H$6:$H$125,'配对计算'!$A$6:$A$125,$A8)-B8*E8^2)/(B8-1)))</x:f>
        <x:v>0.0003410595662734924</x:v>
      </x:c>
      <x:c r="G8" s="13" t="n">
        <x:f>E8-$B$5*F8/SQRT(B8)</x:f>
        <x:v>0.21810290684604708</x:v>
      </x:c>
      <x:c r="H8" s="13" t="n">
        <x:f>E8+$B$5*F8/SQRT(B8)</x:f>
        <x:v>0.21894986961541665</x:v>
      </x:c>
    </x:row>
    <x:row r="9" ht="22" customHeight="1">
      <x:c r="A9" s="11" t="str">
        <x:v>free_raw / uniform / r0 vs ring</x:v>
      </x:c>
      <x:c r="B9" s="11" t="n">
        <x:f>COUNTIFS('配对计算'!$A$6:$A$125,$A9)</x:f>
        <x:v>5</x:v>
      </x:c>
      <x:c r="C9" s="12" t="n">
        <x:f>AVERAGEIFS('配对计算'!$E$6:$E$125,'配对计算'!$A$6:$A$125,$A9)</x:f>
        <x:v>72656.990625</x:v>
      </x:c>
      <x:c r="D9" s="12" t="n">
        <x:f>AVERAGEIFS('配对计算'!$F$6:$F$125,'配对计算'!$A$6:$A$125,$A9)</x:f>
        <x:v>54877.79453125</x:v>
      </x:c>
      <x:c r="E9" s="14" t="n">
        <x:f>AVERAGEIFS('配对计算'!$G$6:$G$125,'配对计算'!$A$6:$A$125,$A9)</x:f>
        <x:v>0.24470031449752652</x:v>
      </x:c>
      <x:c r="F9" s="13" t="n">
        <x:f>SQRT(MAX(0,(SUMIFS('配对计算'!$H$6:$H$125,'配对计算'!$A$6:$A$125,$A9)-B9*E9^2)/(B9-1)))</x:f>
        <x:v>0.000326216501269111</x:v>
      </x:c>
      <x:c r="G9" s="13" t="n">
        <x:f>E9-$B$5*F9/SQRT(B9)</x:f>
        <x:v>0.24429526321228068</x:v>
      </x:c>
      <x:c r="H9" s="13" t="n">
        <x:f>E9+$B$5*F9/SQRT(B9)</x:f>
        <x:v>0.24510536578277237</x:v>
      </x:c>
    </x:row>
    <x:row r="10" ht="22" customHeight="1">
      <x:c r="A10" s="11" t="str">
        <x:v>free_raw / hot90 / sde vs deferred</x:v>
      </x:c>
      <x:c r="B10" s="11" t="n">
        <x:f>COUNTIFS('配对计算'!$A$6:$A$125,$A10)</x:f>
        <x:v>5</x:v>
      </x:c>
      <x:c r="C10" s="12" t="n">
        <x:f>AVERAGEIFS('配对计算'!$E$6:$E$125,'配对计算'!$A$6:$A$125,$A10)</x:f>
        <x:v>46356.41796875</x:v>
      </x:c>
      <x:c r="D10" s="12" t="n">
        <x:f>AVERAGEIFS('配对计算'!$F$6:$F$125,'配对计算'!$A$6:$A$125,$A10)</x:f>
        <x:v>36246.708984375</x:v>
      </x:c>
      <x:c r="E10" s="14" t="n">
        <x:f>AVERAGEIFS('配对计算'!$G$6:$G$125,'配对计算'!$A$6:$A$125,$A10)</x:f>
        <x:v>0.21808609322671516</x:v>
      </x:c>
      <x:c r="F10" s="13" t="n">
        <x:f>SQRT(MAX(0,(SUMIFS('配对计算'!$H$6:$H$125,'配对计算'!$A$6:$A$125,$A10)-B10*E10^2)/(B10-1)))</x:f>
        <x:v>0.0005072586602327649</x:v>
      </x:c>
      <x:c r="G10" s="13" t="n">
        <x:f>E10-$B$5*F10/SQRT(B10)</x:f>
        <x:v>0.21745624841052705</x:v>
      </x:c>
      <x:c r="H10" s="13" t="n">
        <x:f>E10+$B$5*F10/SQRT(B10)</x:f>
        <x:v>0.21871593804290326</x:v>
      </x:c>
    </x:row>
    <x:row r="11" ht="22" customHeight="1">
      <x:c r="A11" s="11" t="str">
        <x:v>free_raw / hot90 / r0 vs ring</x:v>
      </x:c>
      <x:c r="B11" s="11" t="n">
        <x:f>COUNTIFS('配对计算'!$A$6:$A$125,$A11)</x:f>
        <x:v>5</x:v>
      </x:c>
      <x:c r="C11" s="12" t="n">
        <x:f>AVERAGEIFS('配对计算'!$E$6:$E$125,'配对计算'!$A$6:$A$125,$A11)</x:f>
        <x:v>68777.69453125</x:v>
      </x:c>
      <x:c r="D11" s="12" t="n">
        <x:f>AVERAGEIFS('配对计算'!$F$6:$F$125,'配对计算'!$A$6:$A$125,$A11)</x:f>
        <x:v>51964.109375</x:v>
      </x:c>
      <x:c r="E11" s="14" t="n">
        <x:f>AVERAGEIFS('配对计算'!$G$6:$G$125,'配对计算'!$A$6:$A$125,$A11)</x:f>
        <x:v>0.24446235067449945</x:v>
      </x:c>
      <x:c r="F11" s="13" t="n">
        <x:f>SQRT(MAX(0,(SUMIFS('配对计算'!$H$6:$H$125,'配对计算'!$A$6:$A$125,$A11)-B11*E11^2)/(B11-1)))</x:f>
        <x:v>0.0004006557165357139</x:v>
      </x:c>
      <x:c r="G11" s="13" t="n">
        <x:f>E11-$B$5*F11/SQRT(B11)</x:f>
        <x:v>0.2439648708956025</x:v>
      </x:c>
      <x:c r="H11" s="13" t="n">
        <x:f>E11+$B$5*F11/SQRT(B11)</x:f>
        <x:v>0.2449598304533964</x:v>
      </x:c>
    </x:row>
    <x:row r="12" ht="22" customHeight="1">
      <x:c r="A12" s="11" t="str">
        <x:v>free_raw / zipf09 / sde vs deferred</x:v>
      </x:c>
      <x:c r="B12" s="11" t="n">
        <x:f>COUNTIFS('配对计算'!$A$6:$A$125,$A12)</x:f>
        <x:v>5</x:v>
      </x:c>
      <x:c r="C12" s="12" t="n">
        <x:f>AVERAGEIFS('配对计算'!$E$6:$E$125,'配对计算'!$A$6:$A$125,$A12)</x:f>
        <x:v>47829.0625</x:v>
      </x:c>
      <x:c r="D12" s="12" t="n">
        <x:f>AVERAGEIFS('配对计算'!$F$6:$F$125,'配对计算'!$A$6:$A$125,$A12)</x:f>
        <x:v>37383.47109375</x:v>
      </x:c>
      <x:c r="E12" s="14" t="n">
        <x:f>AVERAGEIFS('配对计算'!$G$6:$G$125,'配对计算'!$A$6:$A$125,$A12)</x:f>
        <x:v>0.21839372652979233</x:v>
      </x:c>
      <x:c r="F12" s="13" t="n">
        <x:f>SQRT(MAX(0,(SUMIFS('配对计算'!$H$6:$H$125,'配对计算'!$A$6:$A$125,$A12)-B12*E12^2)/(B12-1)))</x:f>
        <x:v>0.0006438737183261643</x:v>
      </x:c>
      <x:c r="G12" s="13" t="n">
        <x:f>E12-$B$5*F12/SQRT(B12)</x:f>
        <x:v>0.21759425171435715</x:v>
      </x:c>
      <x:c r="H12" s="13" t="n">
        <x:f>E12+$B$5*F12/SQRT(B12)</x:f>
        <x:v>0.21919320134522752</x:v>
      </x:c>
    </x:row>
    <x:row r="13" ht="22" customHeight="1">
      <x:c r="A13" s="11" t="str">
        <x:v>free_raw / zipf09 / r0 vs ring</x:v>
      </x:c>
      <x:c r="B13" s="11" t="n">
        <x:f>COUNTIFS('配对计算'!$A$6:$A$125,$A13)</x:f>
        <x:v>5</x:v>
      </x:c>
      <x:c r="C13" s="12" t="n">
        <x:f>AVERAGEIFS('配对计算'!$E$6:$E$125,'配对计算'!$A$6:$A$125,$A13)</x:f>
        <x:v>70963.65</x:v>
      </x:c>
      <x:c r="D13" s="12" t="n">
        <x:f>AVERAGEIFS('配对计算'!$F$6:$F$125,'配对计算'!$A$6:$A$125,$A13)</x:f>
        <x:v>53576.87265625</x:v>
      </x:c>
      <x:c r="E13" s="14" t="n">
        <x:f>AVERAGEIFS('配对计算'!$G$6:$G$125,'配对计算'!$A$6:$A$125,$A13)</x:f>
        <x:v>0.24500932531046898</x:v>
      </x:c>
      <x:c r="F13" s="13" t="n">
        <x:f>SQRT(MAX(0,(SUMIFS('配对计算'!$H$6:$H$125,'配对计算'!$A$6:$A$125,$A13)-B13*E13^2)/(B13-1)))</x:f>
        <x:v>0.00038932431620401396</x:v>
      </x:c>
      <x:c r="G13" s="13" t="n">
        <x:f>E13-$B$5*F13/SQRT(B13)</x:f>
        <x:v>0.24452591532341317</x:v>
      </x:c>
      <x:c r="H13" s="13" t="n">
        <x:f>E13+$B$5*F13/SQRT(B13)</x:f>
        <x:v>0.2454927352975248</x:v>
      </x:c>
    </x:row>
    <x:row r="14" ht="22" customHeight="1">
      <x:c r="A14" s="11" t="str">
        <x:v>free_raw / scan / sde vs deferred</x:v>
      </x:c>
      <x:c r="B14" s="11" t="n">
        <x:f>COUNTIFS('配对计算'!$A$6:$A$125,$A14)</x:f>
        <x:v>5</x:v>
      </x:c>
      <x:c r="C14" s="12" t="n">
        <x:f>AVERAGEIFS('配对计算'!$E$6:$E$125,'配对计算'!$A$6:$A$125,$A14)</x:f>
        <x:v>18722.01171875</x:v>
      </x:c>
      <x:c r="D14" s="12" t="n">
        <x:f>AVERAGEIFS('配对计算'!$F$6:$F$125,'配对计算'!$A$6:$A$125,$A14)</x:f>
        <x:v>14639.204296875</x:v>
      </x:c>
      <x:c r="E14" s="14" t="n">
        <x:f>AVERAGEIFS('配对计算'!$G$6:$G$125,'配对计算'!$A$6:$A$125,$A14)</x:f>
        <x:v>0.21807525191249022</x:v>
      </x:c>
      <x:c r="F14" s="13" t="n">
        <x:f>SQRT(MAX(0,(SUMIFS('配对计算'!$H$6:$H$125,'配对计算'!$A$6:$A$125,$A14)-B14*E14^2)/(B14-1)))</x:f>
        <x:v>0.0006421735822436685</x:v>
      </x:c>
      <x:c r="G14" s="13" t="n">
        <x:f>E14-$B$5*F14/SQRT(B14)</x:f>
        <x:v>0.2172778880948207</x:v>
      </x:c>
      <x:c r="H14" s="13" t="n">
        <x:f>E14+$B$5*F14/SQRT(B14)</x:f>
        <x:v>0.21887261573015973</x:v>
      </x:c>
    </x:row>
    <x:row r="15" ht="22" customHeight="1">
      <x:c r="A15" s="11" t="str">
        <x:v>free_raw / scan / r0 vs ring</x:v>
      </x:c>
      <x:c r="B15" s="11" t="n">
        <x:f>COUNTIFS('配对计算'!$A$6:$A$125,$A15)</x:f>
        <x:v>5</x:v>
      </x:c>
      <x:c r="C15" s="12" t="n">
        <x:f>AVERAGEIFS('配对计算'!$E$6:$E$125,'配对计算'!$A$6:$A$125,$A15)</x:f>
        <x:v>27744.71640625</x:v>
      </x:c>
      <x:c r="D15" s="12" t="n">
        <x:f>AVERAGEIFS('配对计算'!$F$6:$F$125,'配对计算'!$A$6:$A$125,$A15)</x:f>
        <x:v>20953.7109375</x:v>
      </x:c>
      <x:c r="E15" s="14" t="n">
        <x:f>AVERAGEIFS('配对计算'!$G$6:$G$125,'配对计算'!$A$6:$A$125,$A15)</x:f>
        <x:v>0.24476690705590326</x:v>
      </x:c>
      <x:c r="F15" s="13" t="n">
        <x:f>SQRT(MAX(0,(SUMIFS('配对计算'!$H$6:$H$125,'配对计算'!$A$6:$A$125,$A15)-B15*E15^2)/(B15-1)))</x:f>
        <x:v>0.0008795521159348223</x:v>
      </x:c>
      <x:c r="G15" s="13" t="n">
        <x:f>E15-$B$5*F15/SQRT(B15)</x:f>
        <x:v>0.24367479885900303</x:v>
      </x:c>
      <x:c r="H15" s="13" t="n">
        <x:f>E15+$B$5*F15/SQRT(B15)</x:f>
        <x:v>0.2458590152528035</x:v>
      </x:c>
    </x:row>
    <x:row r="16" ht="22" customHeight="1">
      <x:c r="A16" s="2" t="str">
        <x:v>free_compressed / uniform / sde vs deferred</x:v>
      </x:c>
      <x:c r="B16" s="2" t="n">
        <x:f>COUNTIFS('配对计算'!$A$6:$A$125,$A16)</x:f>
        <x:v>5</x:v>
      </x:c>
      <x:c r="C16" s="8" t="n">
        <x:f>AVERAGEIFS('配对计算'!$E$6:$E$125,'配对计算'!$A$6:$A$125,$A16)</x:f>
        <x:v>40951.3125</x:v>
      </x:c>
      <x:c r="D16" s="8" t="n">
        <x:f>AVERAGEIFS('配对计算'!$F$6:$F$125,'配对计算'!$A$6:$A$125,$A16)</x:f>
        <x:v>32007.114453125</x:v>
      </x:c>
      <x:c r="E16" s="15" t="n">
        <x:f>AVERAGEIFS('配对计算'!$G$6:$G$125,'配对计算'!$A$6:$A$125,$A16)</x:f>
        <x:v>0.2184104009542585</x:v>
      </x:c>
      <x:c r="F16" s="9" t="n">
        <x:f>SQRT(MAX(0,(SUMIFS('配对计算'!$H$6:$H$125,'配对计算'!$A$6:$A$125,$A16)-B16*E16^2)/(B16-1)))</x:f>
        <x:v>0.0002919078569820161</x:v>
      </x:c>
      <x:c r="G16" s="9" t="n">
        <x:f>E16-$B$5*F16/SQRT(B16)</x:f>
        <x:v>0.21804794947745113</x:v>
      </x:c>
      <x:c r="H16" s="9" t="n">
        <x:f>E16+$B$5*F16/SQRT(B16)</x:f>
        <x:v>0.2187728524310659</x:v>
      </x:c>
    </x:row>
    <x:row r="17" ht="22" customHeight="1">
      <x:c r="A17" s="2" t="str">
        <x:v>free_compressed / uniform / r0 vs ring</x:v>
      </x:c>
      <x:c r="B17" s="2" t="n">
        <x:f>COUNTIFS('配对计算'!$A$6:$A$125,$A17)</x:f>
        <x:v>5</x:v>
      </x:c>
      <x:c r="C17" s="8" t="n">
        <x:f>AVERAGEIFS('配对计算'!$E$6:$E$125,'配对计算'!$A$6:$A$125,$A17)</x:f>
        <x:v>60771.84765625</x:v>
      </x:c>
      <x:c r="D17" s="8" t="n">
        <x:f>AVERAGEIFS('配对计算'!$F$6:$F$125,'配对计算'!$A$6:$A$125,$A17)</x:f>
        <x:v>45889.190625</x:v>
      </x:c>
      <x:c r="E17" s="15" t="n">
        <x:f>AVERAGEIFS('配对计算'!$G$6:$G$125,'配对计算'!$A$6:$A$125,$A17)</x:f>
        <x:v>0.24489330352253796</x:v>
      </x:c>
      <x:c r="F17" s="9" t="n">
        <x:f>SQRT(MAX(0,(SUMIFS('配对计算'!$H$6:$H$125,'配对计算'!$A$6:$A$125,$A17)-B17*E17^2)/(B17-1)))</x:f>
        <x:v>0.00046554470827712106</x:v>
      </x:c>
      <x:c r="G17" s="9" t="n">
        <x:f>E17-$B$5*F17/SQRT(B17)</x:f>
        <x:v>0.244315253418716</x:v>
      </x:c>
      <x:c r="H17" s="9" t="n">
        <x:f>E17+$B$5*F17/SQRT(B17)</x:f>
        <x:v>0.24547135362635994</x:v>
      </x:c>
    </x:row>
    <x:row r="18" ht="22" customHeight="1">
      <x:c r="A18" s="2" t="str">
        <x:v>free_compressed / hot90 / sde vs deferred</x:v>
      </x:c>
      <x:c r="B18" s="2" t="n">
        <x:f>COUNTIFS('配对计算'!$A$6:$A$125,$A18)</x:f>
        <x:v>5</x:v>
      </x:c>
      <x:c r="C18" s="8" t="n">
        <x:f>AVERAGEIFS('配对计算'!$E$6:$E$125,'配对计算'!$A$6:$A$125,$A18)</x:f>
        <x:v>39065.3125</x:v>
      </x:c>
      <x:c r="D18" s="8" t="n">
        <x:f>AVERAGEIFS('配对计算'!$F$6:$F$125,'配对计算'!$A$6:$A$125,$A18)</x:f>
        <x:v>30539.927734375</x:v>
      </x:c>
      <x:c r="E18" s="15" t="n">
        <x:f>AVERAGEIFS('配对计算'!$G$6:$G$125,'配对计算'!$A$6:$A$125,$A18)</x:f>
        <x:v>0.2182340059724405</x:v>
      </x:c>
      <x:c r="F18" s="9" t="n">
        <x:f>SQRT(MAX(0,(SUMIFS('配对计算'!$H$6:$H$125,'配对计算'!$A$6:$A$125,$A18)-B18*E18^2)/(B18-1)))</x:f>
        <x:v>0.0004186269284641335</x:v>
      </x:c>
      <x:c r="G18" s="9" t="n">
        <x:f>E18-$B$5*F18/SQRT(B18)</x:f>
        <x:v>0.21771421198668797</x:v>
      </x:c>
      <x:c r="H18" s="9" t="n">
        <x:f>E18+$B$5*F18/SQRT(B18)</x:f>
        <x:v>0.21875379995819302</x:v>
      </x:c>
    </x:row>
    <x:row r="19" ht="22" customHeight="1">
      <x:c r="A19" s="2" t="str">
        <x:v>free_compressed / hot90 / r0 vs ring</x:v>
      </x:c>
      <x:c r="B19" s="2" t="n">
        <x:f>COUNTIFS('配对计算'!$A$6:$A$125,$A19)</x:f>
        <x:v>5</x:v>
      </x:c>
      <x:c r="C19" s="8" t="n">
        <x:f>AVERAGEIFS('配对计算'!$E$6:$E$125,'配对计算'!$A$6:$A$125,$A19)</x:f>
        <x:v>57952.89921875</x:v>
      </x:c>
      <x:c r="D19" s="8" t="n">
        <x:f>AVERAGEIFS('配对计算'!$F$6:$F$125,'配对计算'!$A$6:$A$125,$A19)</x:f>
        <x:v>43794.68125</x:v>
      </x:c>
      <x:c r="E19" s="15" t="n">
        <x:f>AVERAGEIFS('配对计算'!$G$6:$G$125,'配对计算'!$A$6:$A$125,$A19)</x:f>
        <x:v>0.24430509894542443</x:v>
      </x:c>
      <x:c r="F19" s="9" t="n">
        <x:f>SQRT(MAX(0,(SUMIFS('配对计算'!$H$6:$H$125,'配对计算'!$A$6:$A$125,$A19)-B19*E19^2)/(B19-1)))</x:f>
        <x:v>0.0005404435881540557</x:v>
      </x:c>
      <x:c r="G19" s="9" t="n">
        <x:f>E19-$B$5*F19/SQRT(B19)</x:f>
        <x:v>0.2436340495989535</x:v>
      </x:c>
      <x:c r="H19" s="9" t="n">
        <x:f>E19+$B$5*F19/SQRT(B19)</x:f>
        <x:v>0.24497614829189537</x:v>
      </x:c>
    </x:row>
    <x:row r="20" ht="22" customHeight="1">
      <x:c r="A20" s="2" t="str">
        <x:v>free_compressed / zipf09 / sde vs deferred</x:v>
      </x:c>
      <x:c r="B20" s="2" t="n">
        <x:f>COUNTIFS('配对计算'!$A$6:$A$125,$A20)</x:f>
        <x:v>5</x:v>
      </x:c>
      <x:c r="C20" s="8" t="n">
        <x:f>AVERAGEIFS('配对计算'!$E$6:$E$125,'配对计算'!$A$6:$A$125,$A20)</x:f>
        <x:v>40042.8046875</x:v>
      </x:c>
      <x:c r="D20" s="8" t="n">
        <x:f>AVERAGEIFS('配对计算'!$F$6:$F$125,'配对计算'!$A$6:$A$125,$A20)</x:f>
        <x:v>31310.00390625</x:v>
      </x:c>
      <x:c r="E20" s="15" t="n">
        <x:f>AVERAGEIFS('配对计算'!$G$6:$G$125,'配对计算'!$A$6:$A$125,$A20)</x:f>
        <x:v>0.21808627183625334</x:v>
      </x:c>
      <x:c r="F20" s="9" t="n">
        <x:f>SQRT(MAX(0,(SUMIFS('配对计算'!$H$6:$H$125,'配对计算'!$A$6:$A$125,$A20)-B20*E20^2)/(B20-1)))</x:f>
        <x:v>0.0004440270402139815</x:v>
      </x:c>
      <x:c r="G20" s="9" t="n">
        <x:f>E20-$B$5*F20/SQRT(B20)</x:f>
        <x:v>0.21753493944619068</x:v>
      </x:c>
      <x:c r="H20" s="9" t="n">
        <x:f>E20+$B$5*F20/SQRT(B20)</x:f>
        <x:v>0.218637604226316</x:v>
      </x:c>
    </x:row>
    <x:row r="21" ht="22" customHeight="1">
      <x:c r="A21" s="2" t="str">
        <x:v>free_compressed / zipf09 / r0 vs ring</x:v>
      </x:c>
      <x:c r="B21" s="2" t="n">
        <x:f>COUNTIFS('配对计算'!$A$6:$A$125,$A21)</x:f>
        <x:v>5</x:v>
      </x:c>
      <x:c r="C21" s="8" t="n">
        <x:f>AVERAGEIFS('配对计算'!$E$6:$E$125,'配对计算'!$A$6:$A$125,$A21)</x:f>
        <x:v>59411.184375</x:v>
      </x:c>
      <x:c r="D21" s="8" t="n">
        <x:f>AVERAGEIFS('配对计算'!$F$6:$F$125,'配对计算'!$A$6:$A$125,$A21)</x:f>
        <x:v>44883.7125</x:v>
      </x:c>
      <x:c r="E21" s="15" t="n">
        <x:f>AVERAGEIFS('配对计算'!$G$6:$G$125,'配对计算'!$A$6:$A$125,$A21)</x:f>
        <x:v>0.2445238869769156</x:v>
      </x:c>
      <x:c r="F21" s="9" t="n">
        <x:f>SQRT(MAX(0,(SUMIFS('配对计算'!$H$6:$H$125,'配对计算'!$A$6:$A$125,$A21)-B21*E21^2)/(B21-1)))</x:f>
        <x:v>0.00031958658885963885</x:v>
      </x:c>
      <x:c r="G21" s="9" t="n">
        <x:f>E21-$B$5*F21/SQRT(B21)</x:f>
        <x:v>0.24412706781521984</x:v>
      </x:c>
      <x:c r="H21" s="9" t="n">
        <x:f>E21+$B$5*F21/SQRT(B21)</x:f>
        <x:v>0.24492070613861136</x:v>
      </x:c>
    </x:row>
    <x:row r="22" ht="22" customHeight="1">
      <x:c r="A22" s="2" t="str">
        <x:v>free_compressed / scan / sde vs deferred</x:v>
      </x:c>
      <x:c r="B22" s="2" t="n">
        <x:f>COUNTIFS('配对计算'!$A$6:$A$125,$A22)</x:f>
        <x:v>5</x:v>
      </x:c>
      <x:c r="C22" s="8" t="n">
        <x:f>AVERAGEIFS('配对计算'!$E$6:$E$125,'配对计算'!$A$6:$A$125,$A22)</x:f>
        <x:v>18071.5234375</x:v>
      </x:c>
      <x:c r="D22" s="8" t="n">
        <x:f>AVERAGEIFS('配对计算'!$F$6:$F$125,'配对计算'!$A$6:$A$125,$A22)</x:f>
        <x:v>14118.604296875</x:v>
      </x:c>
      <x:c r="E22" s="15" t="n">
        <x:f>AVERAGEIFS('配对计算'!$G$6:$G$125,'配对计算'!$A$6:$A$125,$A22)</x:f>
        <x:v>0.2187374603085397</x:v>
      </x:c>
      <x:c r="F22" s="9" t="n">
        <x:f>SQRT(MAX(0,(SUMIFS('配对计算'!$H$6:$H$125,'配对计算'!$A$6:$A$125,$A22)-B22*E22^2)/(B22-1)))</x:f>
        <x:v>0.0006500292422961715</x:v>
      </x:c>
      <x:c r="G22" s="9" t="n">
        <x:f>E22-$B$5*F22/SQRT(B22)</x:f>
        <x:v>0.21793034240060086</x:v>
      </x:c>
      <x:c r="H22" s="9" t="n">
        <x:f>E22+$B$5*F22/SQRT(B22)</x:f>
        <x:v>0.21954457821647852</x:v>
      </x:c>
    </x:row>
    <x:row r="23" ht="22" customHeight="1">
      <x:c r="A23" s="2" t="str">
        <x:v>free_compressed / scan / r0 vs ring</x:v>
      </x:c>
      <x:c r="B23" s="2" t="n">
        <x:f>COUNTIFS('配对计算'!$A$6:$A$125,$A23)</x:f>
        <x:v>5</x:v>
      </x:c>
      <x:c r="C23" s="8" t="n">
        <x:f>AVERAGEIFS('配对计算'!$E$6:$E$125,'配对计算'!$A$6:$A$125,$A23)</x:f>
        <x:v>26783.5328125</x:v>
      </x:c>
      <x:c r="D23" s="8" t="n">
        <x:f>AVERAGEIFS('配对计算'!$F$6:$F$125,'配对计算'!$A$6:$A$125,$A23)</x:f>
        <x:v>20209.2140625</x:v>
      </x:c>
      <x:c r="E23" s="15" t="n">
        <x:f>AVERAGEIFS('配对计算'!$G$6:$G$125,'配对计算'!$A$6:$A$125,$A23)</x:f>
        <x:v>0.24546106760370448</x:v>
      </x:c>
      <x:c r="F23" s="9" t="n">
        <x:f>SQRT(MAX(0,(SUMIFS('配对计算'!$H$6:$H$125,'配对计算'!$A$6:$A$125,$A23)-B23*E23^2)/(B23-1)))</x:f>
        <x:v>0.0006808143552937792</x:v>
      </x:c>
      <x:c r="G23" s="9" t="n">
        <x:f>E23-$B$5*F23/SQRT(B23)</x:f>
        <x:v>0.24461572492927589</x:v>
      </x:c>
      <x:c r="H23" s="9" t="n">
        <x:f>E23+$B$5*F23/SQRT(B23)</x:f>
        <x:v>0.24630641027813308</x:v>
      </x:c>
    </x:row>
    <x:row r="24" ht="22" customHeight="1">
      <x:c r="A24" s="11" t="str">
        <x:v>rho / uniform / sde vs deferred</x:v>
      </x:c>
      <x:c r="B24" s="11" t="n">
        <x:f>COUNTIFS('配对计算'!$A$6:$A$125,$A24)</x:f>
        <x:v>5</x:v>
      </x:c>
      <x:c r="C24" s="12" t="n">
        <x:f>AVERAGEIFS('配对计算'!$E$6:$E$125,'配对计算'!$A$6:$A$125,$A24)</x:f>
        <x:v>44276.2671875</x:v>
      </x:c>
      <x:c r="D24" s="12" t="n">
        <x:f>AVERAGEIFS('配对计算'!$F$6:$F$125,'配对计算'!$A$6:$A$125,$A24)</x:f>
        <x:v>40605.76796875</x:v>
      </x:c>
      <x:c r="E24" s="14" t="n">
        <x:f>AVERAGEIFS('配对计算'!$G$6:$G$125,'配对计算'!$A$6:$A$125,$A24)</x:f>
        <x:v>0.08289974181657463</x:v>
      </x:c>
      <x:c r="F24" s="13" t="n">
        <x:f>SQRT(MAX(0,(SUMIFS('配对计算'!$H$6:$H$125,'配对计算'!$A$6:$A$125,$A24)-B24*E24^2)/(B24-1)))</x:f>
        <x:v>0.0003049514116383213</x:v>
      </x:c>
      <x:c r="G24" s="13" t="n">
        <x:f>E24-$B$5*F24/SQRT(B24)</x:f>
        <x:v>0.08252109462754191</x:v>
      </x:c>
      <x:c r="H24" s="13" t="n">
        <x:f>E24+$B$5*F24/SQRT(B24)</x:f>
        <x:v>0.08327838900560734</x:v>
      </x:c>
    </x:row>
    <x:row r="25" ht="22" customHeight="1">
      <x:c r="A25" s="11" t="str">
        <x:v>rho / uniform / r0 vs ring</x:v>
      </x:c>
      <x:c r="B25" s="11" t="n">
        <x:f>COUNTIFS('配对计算'!$A$6:$A$125,$A25)</x:f>
        <x:v>5</x:v>
      </x:c>
      <x:c r="C25" s="12" t="n">
        <x:f>AVERAGEIFS('配对计算'!$E$6:$E$125,'配对计算'!$A$6:$A$125,$A25)</x:f>
        <x:v>52377.03203125</x:v>
      </x:c>
      <x:c r="D25" s="12" t="n">
        <x:f>AVERAGEIFS('配对计算'!$F$6:$F$125,'配对计算'!$A$6:$A$125,$A25)</x:f>
        <x:v>46276.7734375</x:v>
      </x:c>
      <x:c r="E25" s="14" t="n">
        <x:f>AVERAGEIFS('配对计算'!$G$6:$G$125,'配对计算'!$A$6:$A$125,$A25)</x:f>
        <x:v>0.11646822746065835</x:v>
      </x:c>
      <x:c r="F25" s="13" t="n">
        <x:f>SQRT(MAX(0,(SUMIFS('配对计算'!$H$6:$H$125,'配对计算'!$A$6:$A$125,$A25)-B25*E25^2)/(B25-1)))</x:f>
        <x:v>0.00018986102839255924</x:v>
      </x:c>
      <x:c r="G25" s="13" t="n">
        <x:f>E25-$B$5*F25/SQRT(B25)</x:f>
        <x:v>0.11623248385704137</x:v>
      </x:c>
      <x:c r="H25" s="13" t="n">
        <x:f>E25+$B$5*F25/SQRT(B25)</x:f>
        <x:v>0.11670397106427534</x:v>
      </x:c>
    </x:row>
    <x:row r="26" ht="22" customHeight="1">
      <x:c r="A26" s="11" t="str">
        <x:v>rho / hot90 / sde vs deferred</x:v>
      </x:c>
      <x:c r="B26" s="11" t="n">
        <x:f>COUNTIFS('配对计算'!$A$6:$A$125,$A26)</x:f>
        <x:v>5</x:v>
      </x:c>
      <x:c r="C26" s="12" t="n">
        <x:f>AVERAGEIFS('配对计算'!$E$6:$E$125,'配对计算'!$A$6:$A$125,$A26)</x:f>
        <x:v>7966.70078125</x:v>
      </x:c>
      <x:c r="D26" s="12" t="n">
        <x:f>AVERAGEIFS('配对计算'!$F$6:$F$125,'配对计算'!$A$6:$A$125,$A26)</x:f>
        <x:v>7304.640234375</x:v>
      </x:c>
      <x:c r="E26" s="14" t="n">
        <x:f>AVERAGEIFS('配对计算'!$G$6:$G$125,'配对计算'!$A$6:$A$125,$A26)</x:f>
        <x:v>0.08310674902168318</x:v>
      </x:c>
      <x:c r="F26" s="13" t="n">
        <x:f>SQRT(MAX(0,(SUMIFS('配对计算'!$H$6:$H$125,'配对计算'!$A$6:$A$125,$A26)-B26*E26^2)/(B26-1)))</x:f>
        <x:v>0.0009447973223098548</x:v>
      </x:c>
      <x:c r="G26" s="13" t="n">
        <x:f>E26-$B$5*F26/SQRT(B26)</x:f>
        <x:v>0.0819336282009717</x:v>
      </x:c>
      <x:c r="H26" s="13" t="n">
        <x:f>E26+$B$5*F26/SQRT(B26)</x:f>
        <x:v>0.08427986984239465</x:v>
      </x:c>
    </x:row>
    <x:row r="27" ht="22" customHeight="1">
      <x:c r="A27" s="11" t="str">
        <x:v>rho / hot90 / r0 vs ring</x:v>
      </x:c>
      <x:c r="B27" s="11" t="n">
        <x:f>COUNTIFS('配对计算'!$A$6:$A$125,$A27)</x:f>
        <x:v>5</x:v>
      </x:c>
      <x:c r="C27" s="12" t="n">
        <x:f>AVERAGEIFS('配对计算'!$E$6:$E$125,'配对计算'!$A$6:$A$125,$A27)</x:f>
        <x:v>9409.81015625</x:v>
      </x:c>
      <x:c r="D27" s="12" t="n">
        <x:f>AVERAGEIFS('配对计算'!$F$6:$F$125,'配对计算'!$A$6:$A$125,$A27)</x:f>
        <x:v>8313.1921875</x:v>
      </x:c>
      <x:c r="E27" s="14" t="n">
        <x:f>AVERAGEIFS('配对计算'!$G$6:$G$125,'配对计算'!$A$6:$A$125,$A27)</x:f>
        <x:v>0.1165415523220625</x:v>
      </x:c>
      <x:c r="F27" s="13" t="n">
        <x:f>SQRT(MAX(0,(SUMIFS('配对计算'!$H$6:$H$125,'配对计算'!$A$6:$A$125,$A27)-B27*E27^2)/(B27-1)))</x:f>
        <x:v>0.0007256025413847329</x:v>
      </x:c>
      <x:c r="G27" s="13" t="n">
        <x:f>E27-$B$5*F27/SQRT(B27)</x:f>
        <x:v>0.11564059776941991</x:v>
      </x:c>
      <x:c r="H27" s="13" t="n">
        <x:f>E27+$B$5*F27/SQRT(B27)</x:f>
        <x:v>0.11744250687470507</x:v>
      </x:c>
    </x:row>
    <x:row r="28" ht="22" customHeight="1">
      <x:c r="A28" s="11" t="str">
        <x:v>rho / zipf09 / sde vs deferred</x:v>
      </x:c>
      <x:c r="B28" s="11" t="n">
        <x:f>COUNTIFS('配对计算'!$A$6:$A$125,$A28)</x:f>
        <x:v>5</x:v>
      </x:c>
      <x:c r="C28" s="12" t="n">
        <x:f>AVERAGEIFS('配对计算'!$E$6:$E$125,'配对计算'!$A$6:$A$125,$A28)</x:f>
        <x:v>28868.415625</x:v>
      </x:c>
      <x:c r="D28" s="12" t="n">
        <x:f>AVERAGEIFS('配对计算'!$F$6:$F$125,'配对计算'!$A$6:$A$125,$A28)</x:f>
        <x:v>26473.2671875</x:v>
      </x:c>
      <x:c r="E28" s="14" t="n">
        <x:f>AVERAGEIFS('配对计算'!$G$6:$G$125,'配对计算'!$A$6:$A$125,$A28)</x:f>
        <x:v>0.08296046996616277</x:v>
      </x:c>
      <x:c r="F28" s="13" t="n">
        <x:f>SQRT(MAX(0,(SUMIFS('配对计算'!$H$6:$H$125,'配对计算'!$A$6:$A$125,$A28)-B28*E28^2)/(B28-1)))</x:f>
        <x:v>0.0005086140300529775</x:v>
      </x:c>
      <x:c r="G28" s="13" t="n">
        <x:f>E28-$B$5*F28/SQRT(B28)</x:f>
        <x:v>0.08232894223606466</x:v>
      </x:c>
      <x:c r="H28" s="13" t="n">
        <x:f>E28+$B$5*F28/SQRT(B28)</x:f>
        <x:v>0.08359199769626088</x:v>
      </x:c>
    </x:row>
    <x:row r="29" ht="22" customHeight="1">
      <x:c r="A29" s="11" t="str">
        <x:v>rho / zipf09 / r0 vs ring</x:v>
      </x:c>
      <x:c r="B29" s="11" t="n">
        <x:f>COUNTIFS('配对计算'!$A$6:$A$125,$A29)</x:f>
        <x:v>5</x:v>
      </x:c>
      <x:c r="C29" s="12" t="n">
        <x:f>AVERAGEIFS('配对计算'!$E$6:$E$125,'配对计算'!$A$6:$A$125,$A29)</x:f>
        <x:v>34130.853125</x:v>
      </x:c>
      <x:c r="D29" s="12" t="n">
        <x:f>AVERAGEIFS('配对计算'!$F$6:$F$125,'配对计算'!$A$6:$A$125,$A29)</x:f>
        <x:v>30158.61640625</x:v>
      </x:c>
      <x:c r="E29" s="14" t="n">
        <x:f>AVERAGEIFS('配对计算'!$G$6:$G$125,'配对计算'!$A$6:$A$125,$A29)</x:f>
        <x:v>0.11638064720787111</x:v>
      </x:c>
      <x:c r="F29" s="13" t="n">
        <x:f>SQRT(MAX(0,(SUMIFS('配对计算'!$H$6:$H$125,'配对计算'!$A$6:$A$125,$A29)-B29*E29^2)/(B29-1)))</x:f>
        <x:v>0.00027927597831544076</x:v>
      </x:c>
      <x:c r="G29" s="13" t="n">
        <x:f>E29-$B$5*F29/SQRT(B29)</x:f>
        <x:v>0.1160338802800337</x:v>
      </x:c>
      <x:c r="H29" s="13" t="n">
        <x:f>E29+$B$5*F29/SQRT(B29)</x:f>
        <x:v>0.11672741413570853</x:v>
      </x:c>
    </x:row>
    <x:row r="30" ht="22" customHeight="1">
      <x:c r="A30" s="11" t="str">
        <x:v>rho / scan / sde vs deferred</x:v>
      </x:c>
      <x:c r="B30" s="11" t="n">
        <x:f>COUNTIFS('配对计算'!$A$6:$A$125,$A30)</x:f>
        <x:v>5</x:v>
      </x:c>
      <x:c r="C30" s="12" t="n">
        <x:f>AVERAGEIFS('配对计算'!$E$6:$E$125,'配对计算'!$A$6:$A$125,$A30)</x:f>
        <x:v>46100.01171875</x:v>
      </x:c>
      <x:c r="D30" s="12" t="n">
        <x:f>AVERAGEIFS('配对计算'!$F$6:$F$125,'配对计算'!$A$6:$A$125,$A30)</x:f>
        <x:v>42274.492578125</x:v>
      </x:c>
      <x:c r="E30" s="14" t="n">
        <x:f>AVERAGEIFS('配对计算'!$G$6:$G$125,'配对计算'!$A$6:$A$125,$A30)</x:f>
        <x:v>0.08298304052424063</x:v>
      </x:c>
      <x:c r="F30" s="13" t="n">
        <x:f>SQRT(MAX(0,(SUMIFS('配对计算'!$H$6:$H$125,'配对计算'!$A$6:$A$125,$A30)-B30*E30^2)/(B30-1)))</x:f>
        <x:v>0.00020133945545213277</x:v>
      </x:c>
      <x:c r="G30" s="13" t="n">
        <x:f>E30-$B$5*F30/SQRT(B30)</x:f>
        <x:v>0.08273304457098776</x:v>
      </x:c>
      <x:c r="H30" s="13" t="n">
        <x:f>E30+$B$5*F30/SQRT(B30)</x:f>
        <x:v>0.0832330364774935</x:v>
      </x:c>
    </x:row>
    <x:row r="31" ht="22" customHeight="1">
      <x:c r="A31" s="11" t="str">
        <x:v>rho / scan / r0 vs ring</x:v>
      </x:c>
      <x:c r="B31" s="11" t="n">
        <x:f>COUNTIFS('配对计算'!$A$6:$A$125,$A31)</x:f>
        <x:v>5</x:v>
      </x:c>
      <x:c r="C31" s="12" t="n">
        <x:f>AVERAGEIFS('配对计算'!$E$6:$E$125,'配对计算'!$A$6:$A$125,$A31)</x:f>
        <x:v>54523.2703125</x:v>
      </x:c>
      <x:c r="D31" s="12" t="n">
        <x:f>AVERAGEIFS('配对计算'!$F$6:$F$125,'配对计算'!$A$6:$A$125,$A31)</x:f>
        <x:v>48174.63203125</x:v>
      </x:c>
      <x:c r="E31" s="14" t="n">
        <x:f>AVERAGEIFS('配对计算'!$G$6:$G$125,'配对计算'!$A$6:$A$125,$A31)</x:f>
        <x:v>0.11643898854472115</x:v>
      </x:c>
      <x:c r="F31" s="13" t="n">
        <x:f>SQRT(MAX(0,(SUMIFS('配对计算'!$H$6:$H$125,'配对计算'!$A$6:$A$125,$A31)-B31*E31^2)/(B31-1)))</x:f>
        <x:v>0.00031134867274912965</x:v>
      </x:c>
      <x:c r="G31" s="13" t="n">
        <x:f>E31-$B$5*F31/SQRT(B31)</x:f>
        <x:v>0.11605239810688003</x:v>
      </x:c>
      <x:c r="H31" s="13" t="n">
        <x:f>E31+$B$5*F31/SQRT(B31)</x:f>
        <x:v>0.11682557898256227</x:v>
      </x:c>
    </x:row>
    <x:row r="32" ht="22" customHeight="1">
      <x:c r="A32" s="2"/>
      <x:c r="B32" s="2"/>
      <x:c r="C32" s="2"/>
      <x:c r="D32" s="2"/>
      <x:c r="E32" s="2"/>
      <x:c r="F32" s="2"/>
      <x:c r="G32" s="2"/>
      <x:c r="H32" s="2"/>
    </x:row>
    <x:row r="33" ht="22" customHeight="1">
      <x:c r="A33" s="2" t="str">
        <x:v>平均节省为逐运行节省率的均值。区间以独立运行作为统计单位。</x:v>
      </x:c>
      <x:c r="B33" s="2"/>
      <x:c r="C33" s="2"/>
      <x:c r="D33" s="2"/>
      <x:c r="E33" s="2"/>
      <x:c r="F33" s="2"/>
      <x:c r="G33" s="2"/>
      <x:c r="H33" s="2"/>
    </x:row>
    <x:row r="34" ht="22" customHeight="1">
      <x:c r="A34" s="2" t="str">
        <x:v>free_raw 为原始位置表，free_compressed 为压缩位置表。两者均只比较同一前端中的后端替换。</x:v>
      </x:c>
      <x:c r="B34" s="2"/>
      <x:c r="C34" s="2"/>
      <x:c r="D34" s="2"/>
      <x:c r="E34" s="2"/>
      <x:c r="F34" s="2"/>
      <x:c r="G34" s="2"/>
      <x:c r="H34" s="2"/>
    </x:row>
    <x:row r="35" ht="22" customHeight="1">
      <x:c r="A35" s="2" t="str">
        <x:v>ρ 的数据为前树与后树的合计。未把后端自身节省当成整体节省。</x:v>
      </x:c>
      <x:c r="B35" s="2"/>
      <x:c r="C35" s="2"/>
      <x:c r="D35" s="2"/>
      <x:c r="E35" s="2"/>
      <x:c r="F35" s="2"/>
      <x:c r="G35" s="2"/>
      <x:c r="H35" s="2"/>
    </x:row>
    <x:row r="36" ht="22" customHeight="1">
      <x:c r="A36" s="2" t="str">
        <x:v>本表未纳入IR、AB的未完成重复，也未纳入后续敏感性和公开负载批次。</x:v>
      </x:c>
      <x:c r="B36" s="2"/>
      <x:c r="C36" s="2"/>
      <x:c r="D36" s="2"/>
      <x:c r="E36" s="2"/>
      <x:c r="F36" s="2"/>
      <x:c r="G36" s="2"/>
      <x:c r="H36" s="2"/>
    </x:row>
    <x:row r="37" ht="22" customHeight="1">
      <x:c r="A37" s="2"/>
      <x:c r="B37" s="2"/>
      <x:c r="C37" s="2"/>
      <x:c r="D37" s="2"/>
      <x:c r="E37" s="2"/>
      <x:c r="F37" s="2"/>
      <x:c r="G37" s="2"/>
      <x:c r="H37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62" hidden="0" customWidth="1"/>
    <x:col min="2" max="2" width="9" hidden="0" customWidth="1"/>
    <x:col min="3" max="3" width="65" hidden="0" customWidth="1"/>
    <x:col min="4" max="4" width="65" hidden="0" customWidth="1"/>
    <x:col min="5" max="5" width="23" hidden="0" customWidth="1"/>
    <x:col min="6" max="6" width="23" hidden="0" customWidth="1"/>
    <x:col min="7" max="7" width="18" hidden="0" customWidth="1"/>
    <x:col min="8" max="8" width="18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</x:row>
    <x:row r="2" ht="22" customHeight="1">
      <x:c r="A2" s="7" t="str">
        <x:v>逐种子配对计算</x:v>
      </x:c>
      <x:c r="B2" s="2"/>
      <x:c r="C2" s="2"/>
      <x:c r="D2" s="2"/>
      <x:c r="E2" s="2"/>
      <x:c r="F2" s="2"/>
      <x:c r="G2" s="2"/>
      <x:c r="H2" s="2"/>
    </x:row>
    <x:row r="3" ht="22" customHeight="1">
      <x:c r="A3" s="2" t="str">
        <x:v>节省率 = 1 − selective 字节/请求 ÷ 基线字节/请求。原始数据通过运行ID精确匹配。</x:v>
      </x:c>
      <x:c r="B3" s="2"/>
      <x:c r="C3" s="2"/>
      <x:c r="D3" s="2"/>
      <x:c r="E3" s="2"/>
      <x:c r="F3" s="2"/>
      <x:c r="G3" s="2"/>
      <x:c r="H3" s="2"/>
    </x:row>
    <x:row r="4" ht="22" customHeight="1">
      <x:c r="A4" s="2"/>
      <x:c r="B4" s="2"/>
      <x:c r="C4" s="2"/>
      <x:c r="D4" s="2"/>
      <x:c r="E4" s="2"/>
      <x:c r="F4" s="2"/>
      <x:c r="G4" s="2"/>
      <x:c r="H4" s="2"/>
    </x:row>
    <x:row r="5" ht="28" customHeight="1">
      <x:c r="A5" s="6" t="str">
        <x:v>比较组</x:v>
      </x:c>
      <x:c r="B5" s="6" t="str">
        <x:v>种子</x:v>
      </x:c>
      <x:c r="C5" s="6" t="str">
        <x:v>基线运行ID</x:v>
      </x:c>
      <x:c r="D5" s="6" t="str">
        <x:v>selective运行ID</x:v>
      </x:c>
      <x:c r="E5" s="6" t="str">
        <x:v>基线字节/请求</x:v>
      </x:c>
      <x:c r="F5" s="6" t="str">
        <x:v>selective字节/请求</x:v>
      </x:c>
      <x:c r="G5" s="6" t="str">
        <x:v>节省率</x:v>
      </x:c>
      <x:c r="H5" s="6" t="str">
        <x:v>节省率平方</x:v>
      </x:c>
    </x:row>
    <x:row r="6" ht="22" customHeight="1">
      <x:c r="A6" s="2" t="str">
        <x:v>free_raw / uniform / sde vs deferred</x:v>
      </x:c>
      <x:c r="B6" s="2" t="n">
        <x:v>101</x:v>
      </x:c>
      <x:c r="C6" s="2" t="str">
        <x:v>C_free_raw_deferred_uniform_N4096_B64_seed101</x:v>
      </x:c>
      <x:c r="D6" s="2" t="str">
        <x:v>C_free_raw_sde_uniform_N4096_B64_seed101</x:v>
      </x:c>
      <x:c r="E6" s="8" t="n">
        <x:f>INDEX('原始运行'!$I$2:$I$241,MATCH(C6,'原始运行'!$A$2:$A$241,0))/INDEX('原始运行'!$H$2:$H$241,MATCH(C6,'原始运行'!$A$2:$A$241,0))</x:f>
        <x:v>49065.9765625</x:v>
      </x:c>
      <x:c r="F6" s="8" t="n">
        <x:f>INDEX('原始运行'!$I$2:$I$241,MATCH(D6,'原始运行'!$A$2:$A$241,0))/INDEX('原始运行'!$H$2:$H$241,MATCH(D6,'原始运行'!$A$2:$A$241,0))</x:f>
        <x:v>38335.44140625</x:v>
      </x:c>
      <x:c r="G6" s="9" t="n">
        <x:f>1-F6/E6</x:f>
        <x:v>0.21869604781189866</x:v>
      </x:c>
      <x:c r="H6" s="10" t="n">
        <x:f>G6^2</x:f>
        <x:v>0.04782796132854426</x:v>
      </x:c>
    </x:row>
    <x:row r="7" ht="22" customHeight="1">
      <x:c r="A7" s="2" t="str">
        <x:v>free_raw / uniform / sde vs deferred</x:v>
      </x:c>
      <x:c r="B7" s="2" t="n">
        <x:v>102</x:v>
      </x:c>
      <x:c r="C7" s="2" t="str">
        <x:v>C_free_raw_deferred_uniform_N4096_B64_seed102</x:v>
      </x:c>
      <x:c r="D7" s="2" t="str">
        <x:v>C_free_raw_sde_uniform_N4096_B64_seed102</x:v>
      </x:c>
      <x:c r="E7" s="8" t="n">
        <x:f>INDEX('原始运行'!$I$2:$I$241,MATCH(C7,'原始运行'!$A$2:$A$241,0))/INDEX('原始运行'!$H$2:$H$241,MATCH(C7,'原始运行'!$A$2:$A$241,0))</x:f>
        <x:v>49107.36328125</x:v>
      </x:c>
      <x:c r="F7" s="8" t="n">
        <x:f>INDEX('原始运行'!$I$2:$I$241,MATCH(D7,'原始运行'!$A$2:$A$241,0))/INDEX('原始运行'!$H$2:$H$241,MATCH(D7,'原始运行'!$A$2:$A$241,0))</x:f>
        <x:v>38352.833984375</x:v>
      </x:c>
      <x:c r="G7" s="9" t="n">
        <x:f>1-F7/E7</x:f>
        <x:v>0.21900034085074283</x:v>
      </x:c>
      <x:c r="H7" s="10" t="n">
        <x:f>G7^2</x:f>
        <x:v>0.047961149292741534</x:v>
      </x:c>
    </x:row>
    <x:row r="8" ht="22" customHeight="1">
      <x:c r="A8" s="2" t="str">
        <x:v>free_raw / uniform / sde vs deferred</x:v>
      </x:c>
      <x:c r="B8" s="2" t="n">
        <x:v>103</x:v>
      </x:c>
      <x:c r="C8" s="2" t="str">
        <x:v>C_free_raw_deferred_uniform_N4096_B64_seed103</x:v>
      </x:c>
      <x:c r="D8" s="2" t="str">
        <x:v>C_free_raw_sde_uniform_N4096_B64_seed103</x:v>
      </x:c>
      <x:c r="E8" s="8" t="n">
        <x:f>INDEX('原始运行'!$I$2:$I$241,MATCH(C8,'原始运行'!$A$2:$A$241,0))/INDEX('原始运行'!$H$2:$H$241,MATCH(C8,'原始运行'!$A$2:$A$241,0))</x:f>
        <x:v>48841.25</x:v>
      </x:c>
      <x:c r="F8" s="8" t="n">
        <x:f>INDEX('原始运行'!$I$2:$I$241,MATCH(D8,'原始运行'!$A$2:$A$241,0))/INDEX('原始运行'!$H$2:$H$241,MATCH(D8,'原始运行'!$A$2:$A$241,0))</x:f>
        <x:v>38186.251953125</x:v>
      </x:c>
      <x:c r="G8" s="9" t="n">
        <x:f>1-F8/E8</x:f>
        <x:v>0.21815571974253323</x:v>
      </x:c>
      <x:c r="H8" s="10" t="n">
        <x:f>G8^2</x:f>
        <x:v>0.0475919180563827</x:v>
      </x:c>
    </x:row>
    <x:row r="9" ht="22" customHeight="1">
      <x:c r="A9" s="2" t="str">
        <x:v>free_raw / uniform / sde vs deferred</x:v>
      </x:c>
      <x:c r="B9" s="2" t="n">
        <x:v>104</x:v>
      </x:c>
      <x:c r="C9" s="2" t="str">
        <x:v>C_free_raw_deferred_uniform_N4096_B64_seed104</x:v>
      </x:c>
      <x:c r="D9" s="2" t="str">
        <x:v>C_free_raw_sde_uniform_N4096_B64_seed104</x:v>
      </x:c>
      <x:c r="E9" s="8" t="n">
        <x:f>INDEX('原始运行'!$I$2:$I$241,MATCH(C9,'原始运行'!$A$2:$A$241,0))/INDEX('原始运行'!$H$2:$H$241,MATCH(C9,'原始运行'!$A$2:$A$241,0))</x:f>
        <x:v>48953.61328125</x:v>
      </x:c>
      <x:c r="F9" s="8" t="n">
        <x:f>INDEX('原始运行'!$I$2:$I$241,MATCH(D9,'原始运行'!$A$2:$A$241,0))/INDEX('原始运行'!$H$2:$H$241,MATCH(D9,'原始运行'!$A$2:$A$241,0))</x:f>
        <x:v>38255.958984375</x:v>
      </x:c>
      <x:c r="G9" s="9" t="n">
        <x:f>1-F9/E9</x:f>
        <x:v>0.21852634728747122</x:v>
      </x:c>
      <x:c r="H9" s="10" t="n">
        <x:f>G9^2</x:f>
        <x:v>0.047753764458804485</x:v>
      </x:c>
    </x:row>
    <x:row r="10" ht="22" customHeight="1">
      <x:c r="A10" s="2" t="str">
        <x:v>free_raw / uniform / sde vs deferred</x:v>
      </x:c>
      <x:c r="B10" s="2" t="n">
        <x:v>105</x:v>
      </x:c>
      <x:c r="C10" s="2" t="str">
        <x:v>C_free_raw_deferred_uniform_N4096_B64_seed105</x:v>
      </x:c>
      <x:c r="D10" s="2" t="str">
        <x:v>C_free_raw_sde_uniform_N4096_B64_seed105</x:v>
      </x:c>
      <x:c r="E10" s="8" t="n">
        <x:f>INDEX('原始运行'!$I$2:$I$241,MATCH(C10,'原始运行'!$A$2:$A$241,0))/INDEX('原始运行'!$H$2:$H$241,MATCH(C10,'原始运行'!$A$2:$A$241,0))</x:f>
        <x:v>48930.9375</x:v>
      </x:c>
      <x:c r="F10" s="8" t="n">
        <x:f>INDEX('原始运行'!$I$2:$I$241,MATCH(D10,'原始运行'!$A$2:$A$241,0))/INDEX('原始运行'!$H$2:$H$241,MATCH(D10,'原始运行'!$A$2:$A$241,0))</x:f>
        <x:v>38251.58984375</x:v>
      </x:c>
      <x:c r="G10" s="9" t="n">
        <x:f>1-F10/E10</x:f>
        <x:v>0.2182534854610133</x:v>
      </x:c>
      <x:c r="H10" s="10" t="n">
        <x:f>G10^2</x:f>
        <x:v>0.04763458391588075</x:v>
      </x:c>
    </x:row>
    <x:row r="11" ht="22" customHeight="1">
      <x:c r="A11" s="2" t="str">
        <x:v>free_raw / uniform / r0 vs ring</x:v>
      </x:c>
      <x:c r="B11" s="2" t="n">
        <x:v>101</x:v>
      </x:c>
      <x:c r="C11" s="2" t="str">
        <x:v>C_free_raw_ring_uniform_N4096_B64_seed101</x:v>
      </x:c>
      <x:c r="D11" s="2" t="str">
        <x:v>C_free_raw_r0_uniform_N4096_B64_seed101</x:v>
      </x:c>
      <x:c r="E11" s="8" t="n">
        <x:f>INDEX('原始运行'!$I$2:$I$241,MATCH(C11,'原始运行'!$A$2:$A$241,0))/INDEX('原始运行'!$H$2:$H$241,MATCH(C11,'原始运行'!$A$2:$A$241,0))</x:f>
        <x:v>72771.796875</x:v>
      </x:c>
      <x:c r="F11" s="8" t="n">
        <x:f>INDEX('原始运行'!$I$2:$I$241,MATCH(D11,'原始运行'!$A$2:$A$241,0))/INDEX('原始运行'!$H$2:$H$241,MATCH(D11,'原始运行'!$A$2:$A$241,0))</x:f>
        <x:v>54993.5390625</x:v>
      </x:c>
      <x:c r="G11" s="9" t="n">
        <x:f>1-F11/E11</x:f>
        <x:v>0.24430148183694966</x:v>
      </x:c>
      <x:c r="H11" s="10" t="n">
        <x:f>G11^2</x:f>
        <x:v>0.05968321402772945</x:v>
      </x:c>
    </x:row>
    <x:row r="12" ht="22" customHeight="1">
      <x:c r="A12" s="2" t="str">
        <x:v>free_raw / uniform / r0 vs ring</x:v>
      </x:c>
      <x:c r="B12" s="2" t="n">
        <x:v>102</x:v>
      </x:c>
      <x:c r="C12" s="2" t="str">
        <x:v>C_free_raw_ring_uniform_N4096_B64_seed102</x:v>
      </x:c>
      <x:c r="D12" s="2" t="str">
        <x:v>C_free_raw_r0_uniform_N4096_B64_seed102</x:v>
      </x:c>
      <x:c r="E12" s="8" t="n">
        <x:f>INDEX('原始运行'!$I$2:$I$241,MATCH(C12,'原始运行'!$A$2:$A$241,0))/INDEX('原始运行'!$H$2:$H$241,MATCH(C12,'原始运行'!$A$2:$A$241,0))</x:f>
        <x:v>72829.6953125</x:v>
      </x:c>
      <x:c r="F12" s="8" t="n">
        <x:f>INDEX('原始运行'!$I$2:$I$241,MATCH(D12,'原始运行'!$A$2:$A$241,0))/INDEX('原始运行'!$H$2:$H$241,MATCH(D12,'原始运行'!$A$2:$A$241,0))</x:f>
        <x:v>54982.97265625</x:v>
      </x:c>
      <x:c r="G12" s="9" t="n">
        <x:f>1-F12/E12</x:f>
        <x:v>0.24504733377879317</x:v>
      </x:c>
      <x:c r="H12" s="10" t="n">
        <x:f>G12^2</x:f>
        <x:v>0.06004819579209527</x:v>
      </x:c>
    </x:row>
    <x:row r="13" ht="22" customHeight="1">
      <x:c r="A13" s="2" t="str">
        <x:v>free_raw / uniform / r0 vs ring</x:v>
      </x:c>
      <x:c r="B13" s="2" t="n">
        <x:v>103</x:v>
      </x:c>
      <x:c r="C13" s="2" t="str">
        <x:v>C_free_raw_ring_uniform_N4096_B64_seed103</x:v>
      </x:c>
      <x:c r="D13" s="2" t="str">
        <x:v>C_free_raw_r0_uniform_N4096_B64_seed103</x:v>
      </x:c>
      <x:c r="E13" s="8" t="n">
        <x:f>INDEX('原始运行'!$I$2:$I$241,MATCH(C13,'原始运行'!$A$2:$A$241,0))/INDEX('原始运行'!$H$2:$H$241,MATCH(C13,'原始运行'!$A$2:$A$241,0))</x:f>
        <x:v>72416.4296875</x:v>
      </x:c>
      <x:c r="F13" s="8" t="n">
        <x:f>INDEX('原始运行'!$I$2:$I$241,MATCH(D13,'原始运行'!$A$2:$A$241,0))/INDEX('原始运行'!$H$2:$H$241,MATCH(D13,'原始运行'!$A$2:$A$241,0))</x:f>
        <x:v>54709.12890625</x:v>
      </x:c>
      <x:c r="G13" s="9" t="n">
        <x:f>1-F13/E13</x:f>
        <x:v>0.24452048875735322</x:v>
      </x:c>
      <x:c r="H13" s="10" t="n">
        <x:f>G13^2</x:f>
        <x:v>0.059790269422134903</x:v>
      </x:c>
    </x:row>
    <x:row r="14" ht="22" customHeight="1">
      <x:c r="A14" s="2" t="str">
        <x:v>free_raw / uniform / r0 vs ring</x:v>
      </x:c>
      <x:c r="B14" s="2" t="n">
        <x:v>104</x:v>
      </x:c>
      <x:c r="C14" s="2" t="str">
        <x:v>C_free_raw_ring_uniform_N4096_B64_seed104</x:v>
      </x:c>
      <x:c r="D14" s="2" t="str">
        <x:v>C_free_raw_r0_uniform_N4096_B64_seed104</x:v>
      </x:c>
      <x:c r="E14" s="8" t="n">
        <x:f>INDEX('原始运行'!$I$2:$I$241,MATCH(C14,'原始运行'!$A$2:$A$241,0))/INDEX('原始运行'!$H$2:$H$241,MATCH(C14,'原始运行'!$A$2:$A$241,0))</x:f>
        <x:v>72666.54296875</x:v>
      </x:c>
      <x:c r="F14" s="8" t="n">
        <x:f>INDEX('原始运行'!$I$2:$I$241,MATCH(D14,'原始运行'!$A$2:$A$241,0))/INDEX('原始运行'!$H$2:$H$241,MATCH(D14,'原始运行'!$A$2:$A$241,0))</x:f>
        <x:v>54891.7578125</x:v>
      </x:c>
      <x:c r="G14" s="9" t="n">
        <x:f>1-F14/E14</x:f>
        <x:v>0.24460755156460356</x:v>
      </x:c>
      <x:c r="H14" s="10" t="n">
        <x:f>G14^2</x:f>
        <x:v>0.059832854282430195</x:v>
      </x:c>
    </x:row>
    <x:row r="15" ht="22" customHeight="1">
      <x:c r="A15" s="2" t="str">
        <x:v>free_raw / uniform / r0 vs ring</x:v>
      </x:c>
      <x:c r="B15" s="2" t="n">
        <x:v>105</x:v>
      </x:c>
      <x:c r="C15" s="2" t="str">
        <x:v>C_free_raw_ring_uniform_N4096_B64_seed105</x:v>
      </x:c>
      <x:c r="D15" s="2" t="str">
        <x:v>C_free_raw_r0_uniform_N4096_B64_seed105</x:v>
      </x:c>
      <x:c r="E15" s="8" t="n">
        <x:f>INDEX('原始运行'!$I$2:$I$241,MATCH(C15,'原始运行'!$A$2:$A$241,0))/INDEX('原始运行'!$H$2:$H$241,MATCH(C15,'原始运行'!$A$2:$A$241,0))</x:f>
        <x:v>72600.48828125</x:v>
      </x:c>
      <x:c r="F15" s="8" t="n">
        <x:f>INDEX('原始运行'!$I$2:$I$241,MATCH(D15,'原始运行'!$A$2:$A$241,0))/INDEX('原始运行'!$H$2:$H$241,MATCH(D15,'原始运行'!$A$2:$A$241,0))</x:f>
        <x:v>54811.57421875</x:v>
      </x:c>
      <x:c r="G15" s="9" t="n">
        <x:f>1-F15/E15</x:f>
        <x:v>0.24502471654993285</x:v>
      </x:c>
      <x:c r="H15" s="10" t="n">
        <x:f>G15^2</x:f>
        <x:v>0.06003711172037494</x:v>
      </x:c>
    </x:row>
    <x:row r="16" ht="22" customHeight="1">
      <x:c r="A16" s="2" t="str">
        <x:v>free_raw / hot90 / sde vs deferred</x:v>
      </x:c>
      <x:c r="B16" s="2" t="n">
        <x:v>101</x:v>
      </x:c>
      <x:c r="C16" s="2" t="str">
        <x:v>C_free_raw_deferred_hot90_N4096_B64_seed101</x:v>
      </x:c>
      <x:c r="D16" s="2" t="str">
        <x:v>C_free_raw_sde_hot90_N4096_B64_seed101</x:v>
      </x:c>
      <x:c r="E16" s="8" t="n">
        <x:f>INDEX('原始运行'!$I$2:$I$241,MATCH(C16,'原始运行'!$A$2:$A$241,0))/INDEX('原始运行'!$H$2:$H$241,MATCH(C16,'原始运行'!$A$2:$A$241,0))</x:f>
        <x:v>46237.36328125</x:v>
      </x:c>
      <x:c r="F16" s="8" t="n">
        <x:f>INDEX('原始运行'!$I$2:$I$241,MATCH(D16,'原始运行'!$A$2:$A$241,0))/INDEX('原始运行'!$H$2:$H$241,MATCH(D16,'原始运行'!$A$2:$A$241,0))</x:f>
        <x:v>36149.337890625</x:v>
      </x:c>
      <x:c r="G16" s="9" t="n">
        <x:f>1-F16/E16</x:f>
        <x:v>0.218179080179424</x:v>
      </x:c>
      <x:c r="H16" s="10" t="n">
        <x:f>G16^2</x:f>
        <x:v>0.04760211102793953</x:v>
      </x:c>
    </x:row>
    <x:row r="17" ht="22" customHeight="1">
      <x:c r="A17" s="2" t="str">
        <x:v>free_raw / hot90 / sde vs deferred</x:v>
      </x:c>
      <x:c r="B17" s="2" t="n">
        <x:v>102</x:v>
      </x:c>
      <x:c r="C17" s="2" t="str">
        <x:v>C_free_raw_deferred_hot90_N4096_B64_seed102</x:v>
      </x:c>
      <x:c r="D17" s="2" t="str">
        <x:v>C_free_raw_sde_hot90_N4096_B64_seed102</x:v>
      </x:c>
      <x:c r="E17" s="8" t="n">
        <x:f>INDEX('原始运行'!$I$2:$I$241,MATCH(C17,'原始运行'!$A$2:$A$241,0))/INDEX('原始运行'!$H$2:$H$241,MATCH(C17,'原始运行'!$A$2:$A$241,0))</x:f>
        <x:v>46157.5390625</x:v>
      </x:c>
      <x:c r="F17" s="8" t="n">
        <x:f>INDEX('原始运行'!$I$2:$I$241,MATCH(D17,'原始运行'!$A$2:$A$241,0))/INDEX('原始运行'!$H$2:$H$241,MATCH(D17,'原始运行'!$A$2:$A$241,0))</x:f>
        <x:v>36076.978515625</x:v>
      </x:c>
      <x:c r="G17" s="9" t="n">
        <x:f>1-F17/E17</x:f>
        <x:v>0.2183946707649499</x:v>
      </x:c>
      <x:c r="H17" s="10" t="n">
        <x:f>G17^2</x:f>
        <x:v>0.04769623221853086</x:v>
      </x:c>
    </x:row>
    <x:row r="18" ht="22" customHeight="1">
      <x:c r="A18" s="2" t="str">
        <x:v>free_raw / hot90 / sde vs deferred</x:v>
      </x:c>
      <x:c r="B18" s="2" t="n">
        <x:v>103</x:v>
      </x:c>
      <x:c r="C18" s="2" t="str">
        <x:v>C_free_raw_deferred_hot90_N4096_B64_seed103</x:v>
      </x:c>
      <x:c r="D18" s="2" t="str">
        <x:v>C_free_raw_sde_hot90_N4096_B64_seed103</x:v>
      </x:c>
      <x:c r="E18" s="8" t="n">
        <x:f>INDEX('原始运行'!$I$2:$I$241,MATCH(C18,'原始运行'!$A$2:$A$241,0))/INDEX('原始运行'!$H$2:$H$241,MATCH(C18,'原始运行'!$A$2:$A$241,0))</x:f>
        <x:v>46237.36328125</x:v>
      </x:c>
      <x:c r="F18" s="8" t="n">
        <x:f>INDEX('原始运行'!$I$2:$I$241,MATCH(D18,'原始运行'!$A$2:$A$241,0))/INDEX('原始运行'!$H$2:$H$241,MATCH(D18,'原始运行'!$A$2:$A$241,0))</x:f>
        <x:v>36193.060546875</x:v>
      </x:c>
      <x:c r="G18" s="9" t="n">
        <x:f>1-F18/E18</x:f>
        <x:v>0.2172334670832783</x:v>
      </x:c>
      <x:c r="H18" s="10" t="n">
        <x:f>G18^2</x:f>
        <x:v>0.047190379221021754</x:v>
      </x:c>
    </x:row>
    <x:row r="19" ht="22" customHeight="1">
      <x:c r="A19" s="2" t="str">
        <x:v>free_raw / hot90 / sde vs deferred</x:v>
      </x:c>
      <x:c r="B19" s="2" t="n">
        <x:v>104</x:v>
      </x:c>
      <x:c r="C19" s="2" t="str">
        <x:v>C_free_raw_deferred_hot90_N4096_B64_seed104</x:v>
      </x:c>
      <x:c r="D19" s="2" t="str">
        <x:v>C_free_raw_sde_hot90_N4096_B64_seed104</x:v>
      </x:c>
      <x:c r="E19" s="8" t="n">
        <x:f>INDEX('原始运行'!$I$2:$I$241,MATCH(C19,'原始运行'!$A$2:$A$241,0))/INDEX('原始运行'!$H$2:$H$241,MATCH(C19,'原始运行'!$A$2:$A$241,0))</x:f>
        <x:v>46650.3125</x:v>
      </x:c>
      <x:c r="F19" s="8" t="n">
        <x:f>INDEX('原始运行'!$I$2:$I$241,MATCH(D19,'原始运行'!$A$2:$A$241,0))/INDEX('原始运行'!$H$2:$H$241,MATCH(D19,'原始运行'!$A$2:$A$241,0))</x:f>
        <x:v>36476.263671875</x:v>
      </x:c>
      <x:c r="G19" s="9" t="n">
        <x:f>1-F19/E19</x:f>
        <x:v>0.21809176151017207</x:v>
      </x:c>
      <x:c r="H19" s="10" t="n">
        <x:f>G19^2</x:f>
        <x:v>0.04756401643860977</x:v>
      </x:c>
    </x:row>
    <x:row r="20" ht="22" customHeight="1">
      <x:c r="A20" s="2" t="str">
        <x:v>free_raw / hot90 / sde vs deferred</x:v>
      </x:c>
      <x:c r="B20" s="2" t="n">
        <x:v>105</x:v>
      </x:c>
      <x:c r="C20" s="2" t="str">
        <x:v>C_free_raw_deferred_hot90_N4096_B64_seed105</x:v>
      </x:c>
      <x:c r="D20" s="2" t="str">
        <x:v>C_free_raw_sde_hot90_N4096_B64_seed105</x:v>
      </x:c>
      <x:c r="E20" s="8" t="n">
        <x:f>INDEX('原始运行'!$I$2:$I$241,MATCH(C20,'原始运行'!$A$2:$A$241,0))/INDEX('原始运行'!$H$2:$H$241,MATCH(C20,'原始运行'!$A$2:$A$241,0))</x:f>
        <x:v>46499.51171875</x:v>
      </x:c>
      <x:c r="F20" s="8" t="n">
        <x:f>INDEX('原始运行'!$I$2:$I$241,MATCH(D20,'原始运行'!$A$2:$A$241,0))/INDEX('原始运行'!$H$2:$H$241,MATCH(D20,'原始运行'!$A$2:$A$241,0))</x:f>
        <x:v>36337.904296875</x:v>
      </x:c>
      <x:c r="G20" s="9" t="n">
        <x:f>1-F20/E20</x:f>
        <x:v>0.2185314865957514</x:v>
      </x:c>
      <x:c r="H20" s="10" t="n">
        <x:f>G20^2</x:f>
        <x:v>0.04775601063374907</x:v>
      </x:c>
    </x:row>
    <x:row r="21" ht="22" customHeight="1">
      <x:c r="A21" s="2" t="str">
        <x:v>free_raw / hot90 / r0 vs ring</x:v>
      </x:c>
      <x:c r="B21" s="2" t="n">
        <x:v>101</x:v>
      </x:c>
      <x:c r="C21" s="2" t="str">
        <x:v>C_free_raw_ring_hot90_N4096_B64_seed101</x:v>
      </x:c>
      <x:c r="D21" s="2" t="str">
        <x:v>C_free_raw_r0_hot90_N4096_B64_seed101</x:v>
      </x:c>
      <x:c r="E21" s="8" t="n">
        <x:f>INDEX('原始运行'!$I$2:$I$241,MATCH(C21,'原始运行'!$A$2:$A$241,0))/INDEX('原始运行'!$H$2:$H$241,MATCH(C21,'原始运行'!$A$2:$A$241,0))</x:f>
        <x:v>68591.3515625</x:v>
      </x:c>
      <x:c r="F21" s="8" t="n">
        <x:f>INDEX('原始运行'!$I$2:$I$241,MATCH(D21,'原始运行'!$A$2:$A$241,0))/INDEX('原始运行'!$H$2:$H$241,MATCH(D21,'原始运行'!$A$2:$A$241,0))</x:f>
        <x:v>51810.71875</x:v>
      </x:c>
      <x:c r="G21" s="9" t="n">
        <x:f>1-F21/E21</x:f>
        <x:v>0.24464648137469047</x:v>
      </x:c>
      <x:c r="H21" s="10" t="n">
        <x:f>G21^2</x:f>
        <x:v>0.05985190084901677</x:v>
      </x:c>
    </x:row>
    <x:row r="22" ht="22" customHeight="1">
      <x:c r="A22" s="2" t="str">
        <x:v>free_raw / hot90 / r0 vs ring</x:v>
      </x:c>
      <x:c r="B22" s="2" t="n">
        <x:v>102</x:v>
      </x:c>
      <x:c r="C22" s="2" t="str">
        <x:v>C_free_raw_ring_hot90_N4096_B64_seed102</x:v>
      </x:c>
      <x:c r="D22" s="2" t="str">
        <x:v>C_free_raw_r0_hot90_N4096_B64_seed102</x:v>
      </x:c>
      <x:c r="E22" s="8" t="n">
        <x:f>INDEX('原始运行'!$I$2:$I$241,MATCH(C22,'原始运行'!$A$2:$A$241,0))/INDEX('原始运行'!$H$2:$H$241,MATCH(C22,'原始运行'!$A$2:$A$241,0))</x:f>
        <x:v>68476.59765625</x:v>
      </x:c>
      <x:c r="F22" s="8" t="n">
        <x:f>INDEX('原始运行'!$I$2:$I$241,MATCH(D22,'原始运行'!$A$2:$A$241,0))/INDEX('原始运行'!$H$2:$H$241,MATCH(D22,'原始运行'!$A$2:$A$241,0))</x:f>
        <x:v>51719.484375</x:v>
      </x:c>
      <x:c r="G22" s="9" t="n">
        <x:f>1-F22/E22</x:f>
        <x:v>0.24471299472806884</x:v>
      </x:c>
      <x:c r="H22" s="10" t="n">
        <x:f>G22^2</x:f>
        <x:v>0.05988444978877985</x:v>
      </x:c>
    </x:row>
    <x:row r="23" ht="22" customHeight="1">
      <x:c r="A23" s="2" t="str">
        <x:v>free_raw / hot90 / r0 vs ring</x:v>
      </x:c>
      <x:c r="B23" s="2" t="n">
        <x:v>103</x:v>
      </x:c>
      <x:c r="C23" s="2" t="str">
        <x:v>C_free_raw_ring_hot90_N4096_B64_seed103</x:v>
      </x:c>
      <x:c r="D23" s="2" t="str">
        <x:v>C_free_raw_r0_hot90_N4096_B64_seed103</x:v>
      </x:c>
      <x:c r="E23" s="8" t="n">
        <x:f>INDEX('原始运行'!$I$2:$I$241,MATCH(C23,'原始运行'!$A$2:$A$241,0))/INDEX('原始运行'!$H$2:$H$241,MATCH(C23,'原始运行'!$A$2:$A$241,0))</x:f>
        <x:v>68588.20703125</x:v>
      </x:c>
      <x:c r="F23" s="8" t="n">
        <x:f>INDEX('原始运行'!$I$2:$I$241,MATCH(D23,'原始运行'!$A$2:$A$241,0))/INDEX('原始运行'!$H$2:$H$241,MATCH(D23,'原始运行'!$A$2:$A$241,0))</x:f>
        <x:v>51868.69921875</x:v>
      </x:c>
      <x:c r="G23" s="9" t="n">
        <x:f>1-F23/E23</x:f>
        <x:v>0.2437665093779503</x:v>
      </x:c>
      <x:c r="H23" s="10" t="n">
        <x:f>G23^2</x:f>
        <x:v>0.05942211109431033</x:v>
      </x:c>
    </x:row>
    <x:row r="24" ht="22" customHeight="1">
      <x:c r="A24" s="2" t="str">
        <x:v>free_raw / hot90 / r0 vs ring</x:v>
      </x:c>
      <x:c r="B24" s="2" t="n">
        <x:v>104</x:v>
      </x:c>
      <x:c r="C24" s="2" t="str">
        <x:v>C_free_raw_ring_hot90_N4096_B64_seed104</x:v>
      </x:c>
      <x:c r="D24" s="2" t="str">
        <x:v>C_free_raw_r0_hot90_N4096_B64_seed104</x:v>
      </x:c>
      <x:c r="E24" s="8" t="n">
        <x:f>INDEX('原始运行'!$I$2:$I$241,MATCH(C24,'原始运行'!$A$2:$A$241,0))/INDEX('原始运行'!$H$2:$H$241,MATCH(C24,'原始运行'!$A$2:$A$241,0))</x:f>
        <x:v>69249.1015625</x:v>
      </x:c>
      <x:c r="F24" s="8" t="n">
        <x:f>INDEX('原始运行'!$I$2:$I$241,MATCH(D24,'原始运行'!$A$2:$A$241,0))/INDEX('原始运行'!$H$2:$H$241,MATCH(D24,'原始运行'!$A$2:$A$241,0))</x:f>
        <x:v>52303.203125</x:v>
      </x:c>
      <x:c r="G24" s="9" t="n">
        <x:f>1-F24/E24</x:f>
        <x:v>0.24470928943685533</x:v>
      </x:c>
      <x:c r="H24" s="10" t="n">
        <x:f>G24^2</x:f>
        <x:v>0.05988263633669064</x:v>
      </x:c>
    </x:row>
    <x:row r="25" ht="22" customHeight="1">
      <x:c r="A25" s="2" t="str">
        <x:v>free_raw / hot90 / r0 vs ring</x:v>
      </x:c>
      <x:c r="B25" s="2" t="n">
        <x:v>105</x:v>
      </x:c>
      <x:c r="C25" s="2" t="str">
        <x:v>C_free_raw_ring_hot90_N4096_B64_seed105</x:v>
      </x:c>
      <x:c r="D25" s="2" t="str">
        <x:v>C_free_raw_r0_hot90_N4096_B64_seed105</x:v>
      </x:c>
      <x:c r="E25" s="8" t="n">
        <x:f>INDEX('原始运行'!$I$2:$I$241,MATCH(C25,'原始运行'!$A$2:$A$241,0))/INDEX('原始运行'!$H$2:$H$241,MATCH(C25,'原始运行'!$A$2:$A$241,0))</x:f>
        <x:v>68983.21484375</x:v>
      </x:c>
      <x:c r="F25" s="8" t="n">
        <x:f>INDEX('原始运行'!$I$2:$I$241,MATCH(D25,'原始运行'!$A$2:$A$241,0))/INDEX('原始运行'!$H$2:$H$241,MATCH(D25,'原始运行'!$A$2:$A$241,0))</x:f>
        <x:v>52118.44140625</x:v>
      </x:c>
      <x:c r="G25" s="9" t="n">
        <x:f>1-F25/E25</x:f>
        <x:v>0.24447647845493214</x:v>
      </x:c>
      <x:c r="H25" s="10" t="n">
        <x:f>G25^2</x:f>
        <x:v>0.0597687485177249</x:v>
      </x:c>
    </x:row>
    <x:row r="26" ht="22" customHeight="1">
      <x:c r="A26" s="2" t="str">
        <x:v>free_raw / zipf09 / sde vs deferred</x:v>
      </x:c>
      <x:c r="B26" s="2" t="n">
        <x:v>101</x:v>
      </x:c>
      <x:c r="C26" s="2" t="str">
        <x:v>C_free_raw_deferred_zipf09_N4096_B64_seed101</x:v>
      </x:c>
      <x:c r="D26" s="2" t="str">
        <x:v>C_free_raw_sde_zipf09_N4096_B64_seed101</x:v>
      </x:c>
      <x:c r="E26" s="8" t="n">
        <x:f>INDEX('原始运行'!$I$2:$I$241,MATCH(C26,'原始运行'!$A$2:$A$241,0))/INDEX('原始运行'!$H$2:$H$241,MATCH(C26,'原始运行'!$A$2:$A$241,0))</x:f>
        <x:v>47713.75</x:v>
      </x:c>
      <x:c r="F26" s="8" t="n">
        <x:f>INDEX('原始运行'!$I$2:$I$241,MATCH(D26,'原始运行'!$A$2:$A$241,0))/INDEX('原始运行'!$H$2:$H$241,MATCH(D26,'原始运行'!$A$2:$A$241,0))</x:f>
        <x:v>37291.76171875</x:v>
      </x:c>
      <x:c r="G26" s="9" t="n">
        <x:f>1-F26/E26</x:f>
        <x:v>0.21842735650100864</x:v>
      </x:c>
      <x:c r="H26" s="10" t="n">
        <x:f>G26^2</x:f>
        <x:v>0.04771051006801872</x:v>
      </x:c>
    </x:row>
    <x:row r="27" ht="22" customHeight="1">
      <x:c r="A27" s="2" t="str">
        <x:v>free_raw / zipf09 / sde vs deferred</x:v>
      </x:c>
      <x:c r="B27" s="2" t="n">
        <x:v>102</x:v>
      </x:c>
      <x:c r="C27" s="2" t="str">
        <x:v>C_free_raw_deferred_zipf09_N4096_B64_seed102</x:v>
      </x:c>
      <x:c r="D27" s="2" t="str">
        <x:v>C_free_raw_sde_zipf09_N4096_B64_seed102</x:v>
      </x:c>
      <x:c r="E27" s="8" t="n">
        <x:f>INDEX('原始运行'!$I$2:$I$241,MATCH(C27,'原始运行'!$A$2:$A$241,0))/INDEX('原始运行'!$H$2:$H$241,MATCH(C27,'原始运行'!$A$2:$A$241,0))</x:f>
        <x:v>47972.94921875</x:v>
      </x:c>
      <x:c r="F27" s="8" t="n">
        <x:f>INDEX('原始运行'!$I$2:$I$241,MATCH(D27,'原始运行'!$A$2:$A$241,0))/INDEX('原始运行'!$H$2:$H$241,MATCH(D27,'原始运行'!$A$2:$A$241,0))</x:f>
        <x:v>37444.853515625</x:v>
      </x:c>
      <x:c r="G27" s="9" t="n">
        <x:f>1-F27/E27</x:f>
        <x:v>0.21945900501381188</x:v>
      </x:c>
      <x:c r="H27" s="10" t="n">
        <x:f>G27^2</x:f>
        <x:v>0.04816225488165231</x:v>
      </x:c>
    </x:row>
    <x:row r="28" ht="22" customHeight="1">
      <x:c r="A28" s="2" t="str">
        <x:v>free_raw / zipf09 / sde vs deferred</x:v>
      </x:c>
      <x:c r="B28" s="2" t="n">
        <x:v>103</x:v>
      </x:c>
      <x:c r="C28" s="2" t="str">
        <x:v>C_free_raw_deferred_zipf09_N4096_B64_seed103</x:v>
      </x:c>
      <x:c r="D28" s="2" t="str">
        <x:v>C_free_raw_sde_zipf09_N4096_B64_seed103</x:v>
      </x:c>
      <x:c r="E28" s="8" t="n">
        <x:f>INDEX('原始运行'!$I$2:$I$241,MATCH(C28,'原始运行'!$A$2:$A$241,0))/INDEX('原始运行'!$H$2:$H$241,MATCH(C28,'原始运行'!$A$2:$A$241,0))</x:f>
        <x:v>47780.76171875</x:v>
      </x:c>
      <x:c r="F28" s="8" t="n">
        <x:f>INDEX('原始运行'!$I$2:$I$241,MATCH(D28,'原始运行'!$A$2:$A$241,0))/INDEX('原始运行'!$H$2:$H$241,MATCH(D28,'原始运行'!$A$2:$A$241,0))</x:f>
        <x:v>37366.416015625</x:v>
      </x:c>
      <x:c r="G28" s="9" t="n">
        <x:f>1-F28/E28</x:f>
        <x:v>0.21796106484083588</x:v>
      </x:c>
      <x:c r="H28" s="10" t="n">
        <x:f>G28^2</x:f>
        <x:v>0.04750702578655106</x:v>
      </x:c>
    </x:row>
    <x:row r="29" ht="22" customHeight="1">
      <x:c r="A29" s="2" t="str">
        <x:v>free_raw / zipf09 / sde vs deferred</x:v>
      </x:c>
      <x:c r="B29" s="2" t="n">
        <x:v>104</x:v>
      </x:c>
      <x:c r="C29" s="2" t="str">
        <x:v>C_free_raw_deferred_zipf09_N4096_B64_seed104</x:v>
      </x:c>
      <x:c r="D29" s="2" t="str">
        <x:v>C_free_raw_sde_zipf09_N4096_B64_seed104</x:v>
      </x:c>
      <x:c r="E29" s="8" t="n">
        <x:f>INDEX('原始运行'!$I$2:$I$241,MATCH(C29,'原始运行'!$A$2:$A$241,0))/INDEX('原始运行'!$H$2:$H$241,MATCH(C29,'原始运行'!$A$2:$A$241,0))</x:f>
        <x:v>47749.23828125</x:v>
      </x:c>
      <x:c r="F29" s="8" t="n">
        <x:f>INDEX('原始运行'!$I$2:$I$241,MATCH(D29,'原始运行'!$A$2:$A$241,0))/INDEX('原始运行'!$H$2:$H$241,MATCH(D29,'原始运行'!$A$2:$A$241,0))</x:f>
        <x:v>37325.650390625</x:v>
      </x:c>
      <x:c r="G29" s="9" t="n">
        <x:f>1-F29/E29</x:f>
        <x:v>0.21829851670572298</x:v>
      </x:c>
      <x:c r="H29" s="10" t="n">
        <x:f>G29^2</x:f>
        <x:v>0.04765424239591881</x:v>
      </x:c>
    </x:row>
    <x:row r="30" ht="22" customHeight="1">
      <x:c r="A30" s="2" t="str">
        <x:v>free_raw / zipf09 / sde vs deferred</x:v>
      </x:c>
      <x:c r="B30" s="2" t="n">
        <x:v>105</x:v>
      </x:c>
      <x:c r="C30" s="2" t="str">
        <x:v>C_free_raw_deferred_zipf09_N4096_B64_seed105</x:v>
      </x:c>
      <x:c r="D30" s="2" t="str">
        <x:v>C_free_raw_sde_zipf09_N4096_B64_seed105</x:v>
      </x:c>
      <x:c r="E30" s="8" t="n">
        <x:f>INDEX('原始运行'!$I$2:$I$241,MATCH(C30,'原始运行'!$A$2:$A$241,0))/INDEX('原始运行'!$H$2:$H$241,MATCH(C30,'原始运行'!$A$2:$A$241,0))</x:f>
        <x:v>47928.61328125</x:v>
      </x:c>
      <x:c r="F30" s="8" t="n">
        <x:f>INDEX('原始运行'!$I$2:$I$241,MATCH(D30,'原始运行'!$A$2:$A$241,0))/INDEX('原始运行'!$H$2:$H$241,MATCH(D30,'原始运行'!$A$2:$A$241,0))</x:f>
        <x:v>37488.673828125</x:v>
      </x:c>
      <x:c r="G30" s="9" t="n">
        <x:f>1-F30/E30</x:f>
        <x:v>0.21782268958758244</x:v>
      </x:c>
      <x:c r="H30" s="10" t="n">
        <x:f>G30^2</x:f>
        <x:v>0.047446724099168294</x:v>
      </x:c>
    </x:row>
    <x:row r="31" ht="22" customHeight="1">
      <x:c r="A31" s="2" t="str">
        <x:v>free_raw / zipf09 / r0 vs ring</x:v>
      </x:c>
      <x:c r="B31" s="2" t="n">
        <x:v>101</x:v>
      </x:c>
      <x:c r="C31" s="2" t="str">
        <x:v>C_free_raw_ring_zipf09_N4096_B64_seed101</x:v>
      </x:c>
      <x:c r="D31" s="2" t="str">
        <x:v>C_free_raw_r0_zipf09_N4096_B64_seed101</x:v>
      </x:c>
      <x:c r="E31" s="8" t="n">
        <x:f>INDEX('原始运行'!$I$2:$I$241,MATCH(C31,'原始运行'!$A$2:$A$241,0))/INDEX('原始运行'!$H$2:$H$241,MATCH(C31,'原始运行'!$A$2:$A$241,0))</x:f>
        <x:v>70818.125</x:v>
      </x:c>
      <x:c r="F31" s="8" t="n">
        <x:f>INDEX('原始运行'!$I$2:$I$241,MATCH(D31,'原始运行'!$A$2:$A$241,0))/INDEX('原始运行'!$H$2:$H$241,MATCH(D31,'原始运行'!$A$2:$A$241,0))</x:f>
        <x:v>53467.02734375</x:v>
      </x:c>
      <x:c r="G31" s="9" t="n">
        <x:f>1-F31/E31</x:f>
        <x:v>0.24500927772727676</x:v>
      </x:c>
      <x:c r="H31" s="10" t="n">
        <x:f>G31^2</x:f>
        <x:v>0.060029546172441835</x:v>
      </x:c>
    </x:row>
    <x:row r="32" ht="22" customHeight="1">
      <x:c r="A32" s="2" t="str">
        <x:v>free_raw / zipf09 / r0 vs ring</x:v>
      </x:c>
      <x:c r="B32" s="2" t="n">
        <x:v>102</x:v>
      </x:c>
      <x:c r="C32" s="2" t="str">
        <x:v>C_free_raw_ring_zipf09_N4096_B64_seed102</x:v>
      </x:c>
      <x:c r="D32" s="2" t="str">
        <x:v>C_free_raw_r0_zipf09_N4096_B64_seed102</x:v>
      </x:c>
      <x:c r="E32" s="8" t="n">
        <x:f>INDEX('原始运行'!$I$2:$I$241,MATCH(C32,'原始运行'!$A$2:$A$241,0))/INDEX('原始运行'!$H$2:$H$241,MATCH(C32,'原始运行'!$A$2:$A$241,0))</x:f>
        <x:v>71145.90625</x:v>
      </x:c>
      <x:c r="F32" s="8" t="n">
        <x:f>INDEX('原始运行'!$I$2:$I$241,MATCH(D32,'原始运行'!$A$2:$A$241,0))/INDEX('原始运行'!$H$2:$H$241,MATCH(D32,'原始运行'!$A$2:$A$241,0))</x:f>
        <x:v>53670.40625</x:v>
      </x:c>
      <x:c r="G32" s="9" t="n">
        <x:f>1-F32/E32</x:f>
        <x:v>0.2456290308340826</x:v>
      </x:c>
      <x:c r="H32" s="10" t="n">
        <x:f>G32^2</x:f>
        <x:v>0.0603336207884907</x:v>
      </x:c>
    </x:row>
    <x:row r="33" ht="22" customHeight="1">
      <x:c r="A33" s="2" t="str">
        <x:v>free_raw / zipf09 / r0 vs ring</x:v>
      </x:c>
      <x:c r="B33" s="2" t="n">
        <x:v>103</x:v>
      </x:c>
      <x:c r="C33" s="2" t="str">
        <x:v>C_free_raw_ring_zipf09_N4096_B64_seed103</x:v>
      </x:c>
      <x:c r="D33" s="2" t="str">
        <x:v>C_free_raw_r0_zipf09_N4096_B64_seed103</x:v>
      </x:c>
      <x:c r="E33" s="8" t="n">
        <x:f>INDEX('原始运行'!$I$2:$I$241,MATCH(C33,'原始运行'!$A$2:$A$241,0))/INDEX('原始运行'!$H$2:$H$241,MATCH(C33,'原始运行'!$A$2:$A$241,0))</x:f>
        <x:v>70888.65234375</x:v>
      </x:c>
      <x:c r="F33" s="8" t="n">
        <x:f>INDEX('原始运行'!$I$2:$I$241,MATCH(D33,'原始运行'!$A$2:$A$241,0))/INDEX('原始运行'!$H$2:$H$241,MATCH(D33,'原始运行'!$A$2:$A$241,0))</x:f>
        <x:v>53549.578125</x:v>
      </x:c>
      <x:c r="G33" s="9" t="n">
        <x:f>1-F33/E33</x:f>
        <x:v>0.2445959070384094</x:v>
      </x:c>
      <x:c r="H33" s="10" t="n">
        <x:f>G33^2</x:f>
        <x:v>0.05982715773994221</x:v>
      </x:c>
    </x:row>
    <x:row r="34" ht="22" customHeight="1">
      <x:c r="A34" s="2" t="str">
        <x:v>free_raw / zipf09 / r0 vs ring</x:v>
      </x:c>
      <x:c r="B34" s="2" t="n">
        <x:v>104</x:v>
      </x:c>
      <x:c r="C34" s="2" t="str">
        <x:v>C_free_raw_ring_zipf09_N4096_B64_seed104</x:v>
      </x:c>
      <x:c r="D34" s="2" t="str">
        <x:v>C_free_raw_r0_zipf09_N4096_B64_seed104</x:v>
      </x:c>
      <x:c r="E34" s="8" t="n">
        <x:f>INDEX('原始运行'!$I$2:$I$241,MATCH(C34,'原始运行'!$A$2:$A$241,0))/INDEX('原始运行'!$H$2:$H$241,MATCH(C34,'原始运行'!$A$2:$A$241,0))</x:f>
        <x:v>70846.875</x:v>
      </x:c>
      <x:c r="F34" s="8" t="n">
        <x:f>INDEX('原始运行'!$I$2:$I$241,MATCH(D34,'原始运行'!$A$2:$A$241,0))/INDEX('原始运行'!$H$2:$H$241,MATCH(D34,'原始运行'!$A$2:$A$241,0))</x:f>
        <x:v>53487.34765625</x:v>
      </x:c>
      <x:c r="G34" s="9" t="n">
        <x:f>1-F34/E34</x:f>
        <x:v>0.2450288363989237</x:v>
      </x:c>
      <x:c r="H34" s="10" t="n">
        <x:f>G34^2</x:f>
        <x:v>0.06003913066701051</x:v>
      </x:c>
    </x:row>
    <x:row r="35" ht="22" customHeight="1">
      <x:c r="A35" s="2" t="str">
        <x:v>free_raw / zipf09 / r0 vs ring</x:v>
      </x:c>
      <x:c r="B35" s="2" t="n">
        <x:v>105</x:v>
      </x:c>
      <x:c r="C35" s="2" t="str">
        <x:v>C_free_raw_ring_zipf09_N4096_B64_seed105</x:v>
      </x:c>
      <x:c r="D35" s="2" t="str">
        <x:v>C_free_raw_r0_zipf09_N4096_B64_seed105</x:v>
      </x:c>
      <x:c r="E35" s="8" t="n">
        <x:f>INDEX('原始运行'!$I$2:$I$241,MATCH(C35,'原始运行'!$A$2:$A$241,0))/INDEX('原始运行'!$H$2:$H$241,MATCH(C35,'原始运行'!$A$2:$A$241,0))</x:f>
        <x:v>71118.69140625</x:v>
      </x:c>
      <x:c r="F35" s="8" t="n">
        <x:f>INDEX('原始运行'!$I$2:$I$241,MATCH(D35,'原始运行'!$A$2:$A$241,0))/INDEX('原始运行'!$H$2:$H$241,MATCH(D35,'原始运行'!$A$2:$A$241,0))</x:f>
        <x:v>53710.00390625</x:v>
      </x:c>
      <x:c r="G35" s="9" t="n">
        <x:f>1-F35/E35</x:f>
        <x:v>0.24478357455365252</x:v>
      </x:c>
      <x:c r="H35" s="10" t="n">
        <x:f>G35^2</x:f>
        <x:v>0.05991899837126356</x:v>
      </x:c>
    </x:row>
    <x:row r="36" ht="22" customHeight="1">
      <x:c r="A36" s="2" t="str">
        <x:v>free_raw / scan / sde vs deferred</x:v>
      </x:c>
      <x:c r="B36" s="2" t="n">
        <x:v>101</x:v>
      </x:c>
      <x:c r="C36" s="2" t="str">
        <x:v>C_free_raw_deferred_scan_N4096_B64_seed101</x:v>
      </x:c>
      <x:c r="D36" s="2" t="str">
        <x:v>C_free_raw_sde_scan_N4096_B64_seed101</x:v>
      </x:c>
      <x:c r="E36" s="8" t="n">
        <x:f>INDEX('原始运行'!$I$2:$I$241,MATCH(C36,'原始运行'!$A$2:$A$241,0))/INDEX('原始运行'!$H$2:$H$241,MATCH(C36,'原始运行'!$A$2:$A$241,0))</x:f>
        <x:v>18722.01171875</x:v>
      </x:c>
      <x:c r="F36" s="8" t="n">
        <x:f>INDEX('原始运行'!$I$2:$I$241,MATCH(D36,'原始运行'!$A$2:$A$241,0))/INDEX('原始运行'!$H$2:$H$241,MATCH(D36,'原始运行'!$A$2:$A$241,0))</x:f>
        <x:v>14636.96484375</x:v>
      </x:c>
      <x:c r="G36" s="9" t="n">
        <x:f>1-F36/E36</x:f>
        <x:v>0.2181948679643676</x:v>
      </x:c>
      <x:c r="H36" s="10" t="n">
        <x:f>G36^2</x:f>
        <x:v>0.04760900040598781</x:v>
      </x:c>
    </x:row>
    <x:row r="37" ht="22" customHeight="1">
      <x:c r="A37" s="2" t="str">
        <x:v>free_raw / scan / sde vs deferred</x:v>
      </x:c>
      <x:c r="B37" s="2" t="n">
        <x:v>102</x:v>
      </x:c>
      <x:c r="C37" s="2" t="str">
        <x:v>C_free_raw_deferred_scan_N4096_B64_seed102</x:v>
      </x:c>
      <x:c r="D37" s="2" t="str">
        <x:v>C_free_raw_sde_scan_N4096_B64_seed102</x:v>
      </x:c>
      <x:c r="E37" s="8" t="n">
        <x:f>INDEX('原始运行'!$I$2:$I$241,MATCH(C37,'原始运行'!$A$2:$A$241,0))/INDEX('原始运行'!$H$2:$H$241,MATCH(C37,'原始运行'!$A$2:$A$241,0))</x:f>
        <x:v>18722.01171875</x:v>
      </x:c>
      <x:c r="F37" s="8" t="n">
        <x:f>INDEX('原始运行'!$I$2:$I$241,MATCH(D37,'原始运行'!$A$2:$A$241,0))/INDEX('原始运行'!$H$2:$H$241,MATCH(D37,'原始运行'!$A$2:$A$241,0))</x:f>
        <x:v>14644.4296875</x:v>
      </x:c>
      <x:c r="G37" s="9" t="n">
        <x:f>1-F37/E37</x:f>
        <x:v>0.21779614779144285</x:v>
      </x:c>
      <x:c r="H37" s="10" t="n">
        <x:f>G37^2</x:f>
        <x:v>0.04743516199279202</x:v>
      </x:c>
    </x:row>
    <x:row r="38" ht="22" customHeight="1">
      <x:c r="A38" s="2" t="str">
        <x:v>free_raw / scan / sde vs deferred</x:v>
      </x:c>
      <x:c r="B38" s="2" t="n">
        <x:v>103</x:v>
      </x:c>
      <x:c r="C38" s="2" t="str">
        <x:v>C_free_raw_deferred_scan_N4096_B64_seed103</x:v>
      </x:c>
      <x:c r="D38" s="2" t="str">
        <x:v>C_free_raw_sde_scan_N4096_B64_seed103</x:v>
      </x:c>
      <x:c r="E38" s="8" t="n">
        <x:f>INDEX('原始运行'!$I$2:$I$241,MATCH(C38,'原始运行'!$A$2:$A$241,0))/INDEX('原始运行'!$H$2:$H$241,MATCH(C38,'原始运行'!$A$2:$A$241,0))</x:f>
        <x:v>18722.01171875</x:v>
      </x:c>
      <x:c r="F38" s="8" t="n">
        <x:f>INDEX('原始运行'!$I$2:$I$241,MATCH(D38,'原始运行'!$A$2:$A$241,0))/INDEX('原始运行'!$H$2:$H$241,MATCH(D38,'原始运行'!$A$2:$A$241,0))</x:f>
        <x:v>14639.453125</x:v>
      </x:c>
      <x:c r="G38" s="9" t="n">
        <x:f>1-F38/E38</x:f>
        <x:v>0.2180619612400594</x:v>
      </x:c>
      <x:c r="H38" s="10" t="n">
        <x:f>G38^2</x:f>
        <x:v>0.04755101893986116</x:v>
      </x:c>
    </x:row>
    <x:row r="39" ht="22" customHeight="1">
      <x:c r="A39" s="2" t="str">
        <x:v>free_raw / scan / sde vs deferred</x:v>
      </x:c>
      <x:c r="B39" s="2" t="n">
        <x:v>104</x:v>
      </x:c>
      <x:c r="C39" s="2" t="str">
        <x:v>C_free_raw_deferred_scan_N4096_B64_seed104</x:v>
      </x:c>
      <x:c r="D39" s="2" t="str">
        <x:v>C_free_raw_sde_scan_N4096_B64_seed104</x:v>
      </x:c>
      <x:c r="E39" s="8" t="n">
        <x:f>INDEX('原始运行'!$I$2:$I$241,MATCH(C39,'原始运行'!$A$2:$A$241,0))/INDEX('原始运行'!$H$2:$H$241,MATCH(C39,'原始运行'!$A$2:$A$241,0))</x:f>
        <x:v>18722.01171875</x:v>
      </x:c>
      <x:c r="F39" s="8" t="n">
        <x:f>INDEX('原始运行'!$I$2:$I$241,MATCH(D39,'原始运行'!$A$2:$A$241,0))/INDEX('原始运行'!$H$2:$H$241,MATCH(D39,'原始运行'!$A$2:$A$241,0))</x:f>
        <x:v>14654.02734375</x:v>
      </x:c>
      <x:c r="G39" s="9" t="n">
        <x:f>1-F39/E39</x:f>
        <x:v>0.21728350756911097</x:v>
      </x:c>
      <x:c r="H39" s="10" t="n">
        <x:f>G39^2</x:f>
        <x:v>0.047212122661535905</x:v>
      </x:c>
    </x:row>
    <x:row r="40" ht="22" customHeight="1">
      <x:c r="A40" s="2" t="str">
        <x:v>free_raw / scan / sde vs deferred</x:v>
      </x:c>
      <x:c r="B40" s="2" t="n">
        <x:v>105</x:v>
      </x:c>
      <x:c r="C40" s="2" t="str">
        <x:v>C_free_raw_deferred_scan_N4096_B64_seed105</x:v>
      </x:c>
      <x:c r="D40" s="2" t="str">
        <x:v>C_free_raw_sde_scan_N4096_B64_seed105</x:v>
      </x:c>
      <x:c r="E40" s="8" t="n">
        <x:f>INDEX('原始运行'!$I$2:$I$241,MATCH(C40,'原始运行'!$A$2:$A$241,0))/INDEX('原始运行'!$H$2:$H$241,MATCH(C40,'原始运行'!$A$2:$A$241,0))</x:f>
        <x:v>18722.01171875</x:v>
      </x:c>
      <x:c r="F40" s="8" t="n">
        <x:f>INDEX('原始运行'!$I$2:$I$241,MATCH(D40,'原始运行'!$A$2:$A$241,0))/INDEX('原始运行'!$H$2:$H$241,MATCH(D40,'原始运行'!$A$2:$A$241,0))</x:f>
        <x:v>14621.146484375</x:v>
      </x:c>
      <x:c r="G40" s="9" t="n">
        <x:f>1-F40/E40</x:f>
        <x:v>0.21903977499747018</x:v>
      </x:c>
      <x:c r="H40" s="10" t="n">
        <x:f>G40^2</x:f>
        <x:v>0.047978423030942366</x:v>
      </x:c>
    </x:row>
    <x:row r="41" ht="22" customHeight="1">
      <x:c r="A41" s="2" t="str">
        <x:v>free_raw / scan / r0 vs ring</x:v>
      </x:c>
      <x:c r="B41" s="2" t="n">
        <x:v>101</x:v>
      </x:c>
      <x:c r="C41" s="2" t="str">
        <x:v>C_free_raw_ring_scan_N4096_B64_seed101</x:v>
      </x:c>
      <x:c r="D41" s="2" t="str">
        <x:v>C_free_raw_r0_scan_N4096_B64_seed101</x:v>
      </x:c>
      <x:c r="E41" s="8" t="n">
        <x:f>INDEX('原始运行'!$I$2:$I$241,MATCH(C41,'原始运行'!$A$2:$A$241,0))/INDEX('原始运行'!$H$2:$H$241,MATCH(C41,'原始运行'!$A$2:$A$241,0))</x:f>
        <x:v>27725.859375</x:v>
      </x:c>
      <x:c r="F41" s="8" t="n">
        <x:f>INDEX('原始运行'!$I$2:$I$241,MATCH(D41,'原始运行'!$A$2:$A$241,0))/INDEX('原始运行'!$H$2:$H$241,MATCH(D41,'原始运行'!$A$2:$A$241,0))</x:f>
        <x:v>20957.859375</x:v>
      </x:c>
      <x:c r="G41" s="9" t="n">
        <x:f>1-F41/E41</x:f>
        <x:v>0.24410424609246217</x:v>
      </x:c>
      <x:c r="H41" s="10" t="n">
        <x:f>G41^2</x:f>
        <x:v>0.05958688296036933</x:v>
      </x:c>
    </x:row>
    <x:row r="42" ht="22" customHeight="1">
      <x:c r="A42" s="2" t="str">
        <x:v>free_raw / scan / r0 vs ring</x:v>
      </x:c>
      <x:c r="B42" s="2" t="n">
        <x:v>102</x:v>
      </x:c>
      <x:c r="C42" s="2" t="str">
        <x:v>C_free_raw_ring_scan_N4096_B64_seed102</x:v>
      </x:c>
      <x:c r="D42" s="2" t="str">
        <x:v>C_free_raw_r0_scan_N4096_B64_seed102</x:v>
      </x:c>
      <x:c r="E42" s="8" t="n">
        <x:f>INDEX('原始运行'!$I$2:$I$241,MATCH(C42,'原始运行'!$A$2:$A$241,0))/INDEX('原始运行'!$H$2:$H$241,MATCH(C42,'原始运行'!$A$2:$A$241,0))</x:f>
        <x:v>27720.5625</x:v>
      </x:c>
      <x:c r="F42" s="8" t="n">
        <x:f>INDEX('原始运行'!$I$2:$I$241,MATCH(D42,'原始运行'!$A$2:$A$241,0))/INDEX('原始运行'!$H$2:$H$241,MATCH(D42,'原始运行'!$A$2:$A$241,0))</x:f>
        <x:v>20953.1796875</x:v>
      </x:c>
      <x:c r="G42" s="9" t="n">
        <x:f>1-F42/E42</x:f>
        <x:v>0.2441286251857263</x:v>
      </x:c>
      <x:c r="H42" s="10" t="n">
        <x:f>G42^2</x:f>
        <x:v>0.05959878563507284</x:v>
      </x:c>
    </x:row>
    <x:row r="43" ht="22" customHeight="1">
      <x:c r="A43" s="2" t="str">
        <x:v>free_raw / scan / r0 vs ring</x:v>
      </x:c>
      <x:c r="B43" s="2" t="n">
        <x:v>103</x:v>
      </x:c>
      <x:c r="C43" s="2" t="str">
        <x:v>C_free_raw_ring_scan_N4096_B64_seed103</x:v>
      </x:c>
      <x:c r="D43" s="2" t="str">
        <x:v>C_free_raw_r0_scan_N4096_B64_seed103</x:v>
      </x:c>
      <x:c r="E43" s="8" t="n">
        <x:f>INDEX('原始运行'!$I$2:$I$241,MATCH(C43,'原始运行'!$A$2:$A$241,0))/INDEX('原始运行'!$H$2:$H$241,MATCH(C43,'原始运行'!$A$2:$A$241,0))</x:f>
        <x:v>27774.1171875</x:v>
      </x:c>
      <x:c r="F43" s="8" t="n">
        <x:f>INDEX('原始运行'!$I$2:$I$241,MATCH(D43,'原始运行'!$A$2:$A$241,0))/INDEX('原始运行'!$H$2:$H$241,MATCH(D43,'原始运行'!$A$2:$A$241,0))</x:f>
        <x:v>20942.8125</x:v>
      </x:c>
      <x:c r="G43" s="9" t="n">
        <x:f>1-F43/E43</x:f>
        <x:v>0.2459593815847545</x:v>
      </x:c>
      <x:c r="H43" s="10" t="n">
        <x:f>G43^2</x:f>
        <x:v>0.060496017389554874</x:v>
      </x:c>
    </x:row>
    <x:row r="44" ht="22" customHeight="1">
      <x:c r="A44" s="2" t="str">
        <x:v>free_raw / scan / r0 vs ring</x:v>
      </x:c>
      <x:c r="B44" s="2" t="n">
        <x:v>104</x:v>
      </x:c>
      <x:c r="C44" s="2" t="str">
        <x:v>C_free_raw_ring_scan_N4096_B64_seed104</x:v>
      </x:c>
      <x:c r="D44" s="2" t="str">
        <x:v>C_free_raw_r0_scan_N4096_B64_seed104</x:v>
      </x:c>
      <x:c r="E44" s="8" t="n">
        <x:f>INDEX('原始运行'!$I$2:$I$241,MATCH(C44,'原始运行'!$A$2:$A$241,0))/INDEX('原始运行'!$H$2:$H$241,MATCH(C44,'原始运行'!$A$2:$A$241,0))</x:f>
        <x:v>27734.71484375</x:v>
      </x:c>
      <x:c r="F44" s="8" t="n">
        <x:f>INDEX('原始运行'!$I$2:$I$241,MATCH(D44,'原始运行'!$A$2:$A$241,0))/INDEX('原始运行'!$H$2:$H$241,MATCH(D44,'原始运行'!$A$2:$A$241,0))</x:f>
        <x:v>20962.4296875</x:v>
      </x:c>
      <x:c r="G44" s="9" t="n">
        <x:f>1-F44/E44</x:f>
        <x:v>0.24418081074217823</x:v>
      </x:c>
      <x:c r="H44" s="10" t="n">
        <x:f>G44^2</x:f>
        <x:v>0.059624268334707464</x:v>
      </x:c>
    </x:row>
    <x:row r="45" ht="22" customHeight="1">
      <x:c r="A45" s="2" t="str">
        <x:v>free_raw / scan / r0 vs ring</x:v>
      </x:c>
      <x:c r="B45" s="2" t="n">
        <x:v>105</x:v>
      </x:c>
      <x:c r="C45" s="2" t="str">
        <x:v>C_free_raw_ring_scan_N4096_B64_seed105</x:v>
      </x:c>
      <x:c r="D45" s="2" t="str">
        <x:v>C_free_raw_r0_scan_N4096_B64_seed105</x:v>
      </x:c>
      <x:c r="E45" s="8" t="n">
        <x:f>INDEX('原始运行'!$I$2:$I$241,MATCH(C45,'原始运行'!$A$2:$A$241,0))/INDEX('原始运行'!$H$2:$H$241,MATCH(C45,'原始运行'!$A$2:$A$241,0))</x:f>
        <x:v>27768.328125</x:v>
      </x:c>
      <x:c r="F45" s="8" t="n">
        <x:f>INDEX('原始运行'!$I$2:$I$241,MATCH(D45,'原始运行'!$A$2:$A$241,0))/INDEX('原始运行'!$H$2:$H$241,MATCH(D45,'原始运行'!$A$2:$A$241,0))</x:f>
        <x:v>20952.2734375</x:v>
      </x:c>
      <x:c r="G45" s="9" t="n">
        <x:f>1-F45/E45</x:f>
        <x:v>0.24546147167439525</x:v>
      </x:c>
      <x:c r="H45" s="10" t="n">
        <x:f>G45^2</x:f>
        <x:v>0.06025133407655994</x:v>
      </x:c>
    </x:row>
    <x:row r="46" ht="22" customHeight="1">
      <x:c r="A46" s="2" t="str">
        <x:v>free_compressed / uniform / sde vs deferred</x:v>
      </x:c>
      <x:c r="B46" s="2" t="n">
        <x:v>101</x:v>
      </x:c>
      <x:c r="C46" s="2" t="str">
        <x:v>C_free_compressed_deferred_uniform_N4096_B64_seed101</x:v>
      </x:c>
      <x:c r="D46" s="2" t="str">
        <x:v>C_free_compressed_sde_uniform_N4096_B64_seed101</x:v>
      </x:c>
      <x:c r="E46" s="8" t="n">
        <x:f>INDEX('原始运行'!$I$2:$I$241,MATCH(C46,'原始运行'!$A$2:$A$241,0))/INDEX('原始运行'!$H$2:$H$241,MATCH(C46,'原始运行'!$A$2:$A$241,0))</x:f>
        <x:v>41067.01171875</x:v>
      </x:c>
      <x:c r="F46" s="8" t="n">
        <x:f>INDEX('原始运行'!$I$2:$I$241,MATCH(D46,'原始运行'!$A$2:$A$241,0))/INDEX('原始运行'!$H$2:$H$241,MATCH(D46,'原始运行'!$A$2:$A$241,0))</x:f>
        <x:v>32112.576171875</x:v>
      </x:c>
      <x:c r="G46" s="9" t="n">
        <x:f>1-F46/E46</x:f>
        <x:v>0.21804448807232457</x:v>
      </x:c>
      <x:c r="H46" s="10" t="n">
        <x:f>G46^2</x:f>
        <x:v>0.047543398778722094</x:v>
      </x:c>
    </x:row>
    <x:row r="47" ht="22" customHeight="1">
      <x:c r="A47" s="2" t="str">
        <x:v>free_compressed / uniform / sde vs deferred</x:v>
      </x:c>
      <x:c r="B47" s="2" t="n">
        <x:v>102</x:v>
      </x:c>
      <x:c r="C47" s="2" t="str">
        <x:v>C_free_compressed_deferred_uniform_N4096_B64_seed102</x:v>
      </x:c>
      <x:c r="D47" s="2" t="str">
        <x:v>C_free_compressed_sde_uniform_N4096_B64_seed102</x:v>
      </x:c>
      <x:c r="E47" s="8" t="n">
        <x:f>INDEX('原始运行'!$I$2:$I$241,MATCH(C47,'原始运行'!$A$2:$A$241,0))/INDEX('原始运行'!$H$2:$H$241,MATCH(C47,'原始运行'!$A$2:$A$241,0))</x:f>
        <x:v>41054.19921875</x:v>
      </x:c>
      <x:c r="F47" s="8" t="n">
        <x:f>INDEX('原始运行'!$I$2:$I$241,MATCH(D47,'原始运行'!$A$2:$A$241,0))/INDEX('原始运行'!$H$2:$H$241,MATCH(D47,'原始运行'!$A$2:$A$241,0))</x:f>
        <x:v>32075.947265625</x:v>
      </x:c>
      <x:c r="G47" s="9" t="n">
        <x:f>1-F47/E47</x:f>
        <x:v>0.21869265809536265</x:v>
      </x:c>
      <x:c r="H47" s="10" t="n">
        <x:f>G47^2</x:f>
        <x:v>0.047826478704815184</x:v>
      </x:c>
    </x:row>
    <x:row r="48" ht="22" customHeight="1">
      <x:c r="A48" s="2" t="str">
        <x:v>free_compressed / uniform / sde vs deferred</x:v>
      </x:c>
      <x:c r="B48" s="2" t="n">
        <x:v>103</x:v>
      </x:c>
      <x:c r="C48" s="2" t="str">
        <x:v>C_free_compressed_deferred_uniform_N4096_B64_seed103</x:v>
      </x:c>
      <x:c r="D48" s="2" t="str">
        <x:v>C_free_compressed_sde_uniform_N4096_B64_seed103</x:v>
      </x:c>
      <x:c r="E48" s="8" t="n">
        <x:f>INDEX('原始运行'!$I$2:$I$241,MATCH(C48,'原始运行'!$A$2:$A$241,0))/INDEX('原始运行'!$H$2:$H$241,MATCH(C48,'原始运行'!$A$2:$A$241,0))</x:f>
        <x:v>40894.55078125</x:v>
      </x:c>
      <x:c r="F48" s="8" t="n">
        <x:f>INDEX('原始运行'!$I$2:$I$241,MATCH(D48,'原始运行'!$A$2:$A$241,0))/INDEX('原始运行'!$H$2:$H$241,MATCH(D48,'原始运行'!$A$2:$A$241,0))</x:f>
        <x:v>31964.8203125</x:v>
      </x:c>
      <x:c r="G48" s="9" t="n">
        <x:f>1-F48/E48</x:f>
        <x:v>0.21835991099440677</x:v>
      </x:c>
      <x:c r="H48" s="10" t="n">
        <x:f>G48^2</x:f>
        <x:v>0.047681050729485246</x:v>
      </x:c>
    </x:row>
    <x:row r="49" ht="22" customHeight="1">
      <x:c r="A49" s="2" t="str">
        <x:v>free_compressed / uniform / sde vs deferred</x:v>
      </x:c>
      <x:c r="B49" s="2" t="n">
        <x:v>104</x:v>
      </x:c>
      <x:c r="C49" s="2" t="str">
        <x:v>C_free_compressed_deferred_uniform_N4096_B64_seed104</x:v>
      </x:c>
      <x:c r="D49" s="2" t="str">
        <x:v>C_free_compressed_sde_uniform_N4096_B64_seed104</x:v>
      </x:c>
      <x:c r="E49" s="8" t="n">
        <x:f>INDEX('原始运行'!$I$2:$I$241,MATCH(C49,'原始运行'!$A$2:$A$241,0))/INDEX('原始运行'!$H$2:$H$241,MATCH(C49,'原始运行'!$A$2:$A$241,0))</x:f>
        <x:v>40769.375</x:v>
      </x:c>
      <x:c r="F49" s="8" t="n">
        <x:f>INDEX('原始运行'!$I$2:$I$241,MATCH(D49,'原始运行'!$A$2:$A$241,0))/INDEX('原始运行'!$H$2:$H$241,MATCH(D49,'原始运行'!$A$2:$A$241,0))</x:f>
        <x:v>31871.9921875</x:v>
      </x:c>
      <x:c r="G49" s="9" t="n">
        <x:f>1-F49/E49</x:f>
        <x:v>0.21823691956278457</x:v>
      </x:c>
      <x:c r="H49" s="10" t="n">
        <x:f>G49^2</x:f>
        <x:v>0.0476273530602533</x:v>
      </x:c>
    </x:row>
    <x:row r="50" ht="22" customHeight="1">
      <x:c r="A50" s="2" t="str">
        <x:v>free_compressed / uniform / sde vs deferred</x:v>
      </x:c>
      <x:c r="B50" s="2" t="n">
        <x:v>105</x:v>
      </x:c>
      <x:c r="C50" s="2" t="str">
        <x:v>C_free_compressed_deferred_uniform_N4096_B64_seed105</x:v>
      </x:c>
      <x:c r="D50" s="2" t="str">
        <x:v>C_free_compressed_sde_uniform_N4096_B64_seed105</x:v>
      </x:c>
      <x:c r="E50" s="8" t="n">
        <x:f>INDEX('原始运行'!$I$2:$I$241,MATCH(C50,'原始运行'!$A$2:$A$241,0))/INDEX('原始运行'!$H$2:$H$241,MATCH(C50,'原始运行'!$A$2:$A$241,0))</x:f>
        <x:v>40971.42578125</x:v>
      </x:c>
      <x:c r="F50" s="8" t="n">
        <x:f>INDEX('原始运行'!$I$2:$I$241,MATCH(D50,'原始运行'!$A$2:$A$241,0))/INDEX('原始运行'!$H$2:$H$241,MATCH(D50,'原始运行'!$A$2:$A$241,0))</x:f>
        <x:v>32010.236328125</x:v>
      </x:c>
      <x:c r="G50" s="9" t="n">
        <x:f>1-F50/E50</x:f>
        <x:v>0.21871802804641383</x:v>
      </x:c>
      <x:c r="H50" s="10" t="n">
        <x:f>G50^2</x:f>
        <x:v>0.04783757579251186</x:v>
      </x:c>
    </x:row>
    <x:row r="51" ht="22" customHeight="1">
      <x:c r="A51" s="2" t="str">
        <x:v>free_compressed / uniform / r0 vs ring</x:v>
      </x:c>
      <x:c r="B51" s="2" t="n">
        <x:v>101</x:v>
      </x:c>
      <x:c r="C51" s="2" t="str">
        <x:v>C_free_compressed_ring_uniform_N4096_B64_seed101</x:v>
      </x:c>
      <x:c r="D51" s="2" t="str">
        <x:v>C_free_compressed_r0_uniform_N4096_B64_seed101</x:v>
      </x:c>
      <x:c r="E51" s="8" t="n">
        <x:f>INDEX('原始运行'!$I$2:$I$241,MATCH(C51,'原始运行'!$A$2:$A$241,0))/INDEX('原始运行'!$H$2:$H$241,MATCH(C51,'原始运行'!$A$2:$A$241,0))</x:f>
        <x:v>60938.09765625</x:v>
      </x:c>
      <x:c r="F51" s="8" t="n">
        <x:f>INDEX('原始运行'!$I$2:$I$241,MATCH(D51,'原始运行'!$A$2:$A$241,0))/INDEX('原始运行'!$H$2:$H$241,MATCH(D51,'原始运行'!$A$2:$A$241,0))</x:f>
        <x:v>46029.48046875</x:v>
      </x:c>
      <x:c r="G51" s="9" t="n">
        <x:f>1-F51/E51</x:f>
        <x:v>0.24465183129934687</x:v>
      </x:c>
      <x:c r="H51" s="10" t="n">
        <x:f>G51^2</x:f>
        <x:v>0.05985451855812408</x:v>
      </x:c>
    </x:row>
    <x:row r="52" ht="22" customHeight="1">
      <x:c r="A52" s="2" t="str">
        <x:v>free_compressed / uniform / r0 vs ring</x:v>
      </x:c>
      <x:c r="B52" s="2" t="n">
        <x:v>102</x:v>
      </x:c>
      <x:c r="C52" s="2" t="str">
        <x:v>C_free_compressed_ring_uniform_N4096_B64_seed102</x:v>
      </x:c>
      <x:c r="D52" s="2" t="str">
        <x:v>C_free_compressed_r0_uniform_N4096_B64_seed102</x:v>
      </x:c>
      <x:c r="E52" s="8" t="n">
        <x:f>INDEX('原始运行'!$I$2:$I$241,MATCH(C52,'原始运行'!$A$2:$A$241,0))/INDEX('原始运行'!$H$2:$H$241,MATCH(C52,'原始运行'!$A$2:$A$241,0))</x:f>
        <x:v>60931.71484375</x:v>
      </x:c>
      <x:c r="F52" s="8" t="n">
        <x:f>INDEX('原始运行'!$I$2:$I$241,MATCH(D52,'原始运行'!$A$2:$A$241,0))/INDEX('原始运行'!$H$2:$H$241,MATCH(D52,'原始运行'!$A$2:$A$241,0))</x:f>
        <x:v>45984.5234375</x:v>
      </x:c>
      <x:c r="G52" s="9" t="n">
        <x:f>1-F52/E52</x:f>
        <x:v>0.24531053236528422</x:v>
      </x:c>
      <x:c r="H52" s="10" t="n">
        <x:f>G52^2</x:f>
        <x:v>0.060177257289339155</x:v>
      </x:c>
    </x:row>
    <x:row r="53" ht="22" customHeight="1">
      <x:c r="A53" s="2" t="str">
        <x:v>free_compressed / uniform / r0 vs ring</x:v>
      </x:c>
      <x:c r="B53" s="2" t="n">
        <x:v>103</x:v>
      </x:c>
      <x:c r="C53" s="2" t="str">
        <x:v>C_free_compressed_ring_uniform_N4096_B64_seed103</x:v>
      </x:c>
      <x:c r="D53" s="2" t="str">
        <x:v>C_free_compressed_r0_uniform_N4096_B64_seed103</x:v>
      </x:c>
      <x:c r="E53" s="8" t="n">
        <x:f>INDEX('原始运行'!$I$2:$I$241,MATCH(C53,'原始运行'!$A$2:$A$241,0))/INDEX('原始运行'!$H$2:$H$241,MATCH(C53,'原始运行'!$A$2:$A$241,0))</x:f>
        <x:v>60719.59375</x:v>
      </x:c>
      <x:c r="F53" s="8" t="n">
        <x:f>INDEX('原始运行'!$I$2:$I$241,MATCH(D53,'原始运行'!$A$2:$A$241,0))/INDEX('原始运行'!$H$2:$H$241,MATCH(D53,'原始运行'!$A$2:$A$241,0))</x:f>
        <x:v>45844.16015625</x:v>
      </x:c>
      <x:c r="G53" s="9" t="n">
        <x:f>1-F53/E53</x:f>
        <x:v>0.24498572330698443</x:v>
      </x:c>
      <x:c r="H53" s="10" t="n">
        <x:f>G53^2</x:f>
        <x:v>0.060018004624246335</x:v>
      </x:c>
    </x:row>
    <x:row r="54" ht="22" customHeight="1">
      <x:c r="A54" s="2" t="str">
        <x:v>free_compressed / uniform / r0 vs ring</x:v>
      </x:c>
      <x:c r="B54" s="2" t="n">
        <x:v>104</x:v>
      </x:c>
      <x:c r="C54" s="2" t="str">
        <x:v>C_free_compressed_ring_uniform_N4096_B64_seed104</x:v>
      </x:c>
      <x:c r="D54" s="2" t="str">
        <x:v>C_free_compressed_r0_uniform_N4096_B64_seed104</x:v>
      </x:c>
      <x:c r="E54" s="8" t="n">
        <x:f>INDEX('原始运行'!$I$2:$I$241,MATCH(C54,'原始运行'!$A$2:$A$241,0))/INDEX('原始运行'!$H$2:$H$241,MATCH(C54,'原始运行'!$A$2:$A$241,0))</x:f>
        <x:v>60511.52734375</x:v>
      </x:c>
      <x:c r="F54" s="8" t="n">
        <x:f>INDEX('原始运行'!$I$2:$I$241,MATCH(D54,'原始运行'!$A$2:$A$241,0))/INDEX('原始运行'!$H$2:$H$241,MATCH(D54,'原始运行'!$A$2:$A$241,0))</x:f>
        <x:v>45733.640625</x:v>
      </x:c>
      <x:c r="G54" s="9" t="n">
        <x:f>1-F54/E54</x:f>
        <x:v>0.24421605878167196</x:v>
      </x:c>
      <x:c r="H54" s="10" t="n">
        <x:f>G54^2</x:f>
        <x:v>0.05964148336685306</x:v>
      </x:c>
    </x:row>
    <x:row r="55" ht="22" customHeight="1">
      <x:c r="A55" s="2" t="str">
        <x:v>free_compressed / uniform / r0 vs ring</x:v>
      </x:c>
      <x:c r="B55" s="2" t="n">
        <x:v>105</x:v>
      </x:c>
      <x:c r="C55" s="2" t="str">
        <x:v>C_free_compressed_ring_uniform_N4096_B64_seed105</x:v>
      </x:c>
      <x:c r="D55" s="2" t="str">
        <x:v>C_free_compressed_r0_uniform_N4096_B64_seed105</x:v>
      </x:c>
      <x:c r="E55" s="8" t="n">
        <x:f>INDEX('原始运行'!$I$2:$I$241,MATCH(C55,'原始运行'!$A$2:$A$241,0))/INDEX('原始运行'!$H$2:$H$241,MATCH(C55,'原始运行'!$A$2:$A$241,0))</x:f>
        <x:v>60758.3046875</x:v>
      </x:c>
      <x:c r="F55" s="8" t="n">
        <x:f>INDEX('原始运行'!$I$2:$I$241,MATCH(D55,'原始运行'!$A$2:$A$241,0))/INDEX('原始运行'!$H$2:$H$241,MATCH(D55,'原始运行'!$A$2:$A$241,0))</x:f>
        <x:v>45854.1484375</x:v>
      </x:c>
      <x:c r="G55" s="9" t="n">
        <x:f>1-F55/E55</x:f>
        <x:v>0.2453023718594024</x:v>
      </x:c>
      <x:c r="H55" s="10" t="n">
        <x:f>G55^2</x:f>
        <x:v>0.06017325363984854</x:v>
      </x:c>
    </x:row>
    <x:row r="56" ht="22" customHeight="1">
      <x:c r="A56" s="2" t="str">
        <x:v>free_compressed / hot90 / sde vs deferred</x:v>
      </x:c>
      <x:c r="B56" s="2" t="n">
        <x:v>101</x:v>
      </x:c>
      <x:c r="C56" s="2" t="str">
        <x:v>C_free_compressed_deferred_hot90_N4096_B64_seed101</x:v>
      </x:c>
      <x:c r="D56" s="2" t="str">
        <x:v>C_free_compressed_sde_hot90_N4096_B64_seed101</x:v>
      </x:c>
      <x:c r="E56" s="8" t="n">
        <x:f>INDEX('原始运行'!$I$2:$I$241,MATCH(C56,'原始运行'!$A$2:$A$241,0))/INDEX('原始运行'!$H$2:$H$241,MATCH(C56,'原始运行'!$A$2:$A$241,0))</x:f>
        <x:v>39049.55078125</x:v>
      </x:c>
      <x:c r="F56" s="8" t="n">
        <x:f>INDEX('原始运行'!$I$2:$I$241,MATCH(D56,'原始运行'!$A$2:$A$241,0))/INDEX('原始运行'!$H$2:$H$241,MATCH(D56,'原始运行'!$A$2:$A$241,0))</x:f>
        <x:v>30512.791015625</x:v>
      </x:c>
      <x:c r="G56" s="9" t="n">
        <x:f>1-F56/E56</x:f>
        <x:v>0.21861352038200665</x:v>
      </x:c>
      <x:c r="H56" s="10" t="n">
        <x:f>G56^2</x:f>
        <x:v>0.04779187129381404</x:v>
      </x:c>
    </x:row>
    <x:row r="57" ht="22" customHeight="1">
      <x:c r="A57" s="2" t="str">
        <x:v>free_compressed / hot90 / sde vs deferred</x:v>
      </x:c>
      <x:c r="B57" s="2" t="n">
        <x:v>102</x:v>
      </x:c>
      <x:c r="C57" s="2" t="str">
        <x:v>C_free_compressed_deferred_hot90_N4096_B64_seed102</x:v>
      </x:c>
      <x:c r="D57" s="2" t="str">
        <x:v>C_free_compressed_sde_hot90_N4096_B64_seed102</x:v>
      </x:c>
      <x:c r="E57" s="8" t="n">
        <x:f>INDEX('原始运行'!$I$2:$I$241,MATCH(C57,'原始运行'!$A$2:$A$241,0))/INDEX('原始运行'!$H$2:$H$241,MATCH(C57,'原始运行'!$A$2:$A$241,0))</x:f>
        <x:v>39029.82421875</x:v>
      </x:c>
      <x:c r="F57" s="8" t="n">
        <x:f>INDEX('原始运行'!$I$2:$I$241,MATCH(D57,'原始运行'!$A$2:$A$241,0))/INDEX('原始运行'!$H$2:$H$241,MATCH(D57,'原始运行'!$A$2:$A$241,0))</x:f>
        <x:v>30539.80859375</x:v>
      </x:c>
      <x:c r="G57" s="9" t="n">
        <x:f>1-F57/E57</x:f>
        <x:v>0.2175263608008099</x:v>
      </x:c>
      <x:c r="H57" s="10" t="n">
        <x:f>G57^2</x:f>
        <x:v>0.04731771764324412</x:v>
      </x:c>
    </x:row>
    <x:row r="58" ht="22" customHeight="1">
      <x:c r="A58" s="2" t="str">
        <x:v>free_compressed / hot90 / sde vs deferred</x:v>
      </x:c>
      <x:c r="B58" s="2" t="n">
        <x:v>103</x:v>
      </x:c>
      <x:c r="C58" s="2" t="str">
        <x:v>C_free_compressed_deferred_hot90_N4096_B64_seed103</x:v>
      </x:c>
      <x:c r="D58" s="2" t="str">
        <x:v>C_free_compressed_sde_hot90_N4096_B64_seed103</x:v>
      </x:c>
      <x:c r="E58" s="8" t="n">
        <x:f>INDEX('原始运行'!$I$2:$I$241,MATCH(C58,'原始运行'!$A$2:$A$241,0))/INDEX('原始运行'!$H$2:$H$241,MATCH(C58,'原始运行'!$A$2:$A$241,0))</x:f>
        <x:v>39068.26171875</x:v>
      </x:c>
      <x:c r="F58" s="8" t="n">
        <x:f>INDEX('原始运行'!$I$2:$I$241,MATCH(D58,'原始运行'!$A$2:$A$241,0))/INDEX('原始运行'!$H$2:$H$241,MATCH(D58,'原始运行'!$A$2:$A$241,0))</x:f>
        <x:v>30533.634765625</x:v>
      </x:c>
      <x:c r="G58" s="9" t="n">
        <x:f>1-F58/E58</x:f>
        <x:v>0.21845422800136982</x:v>
      </x:c>
      <x:c r="H58" s="10" t="n">
        <x:f>G58^2</x:f>
        <x:v>0.04772224973167447</x:v>
      </x:c>
    </x:row>
    <x:row r="59" ht="22" customHeight="1">
      <x:c r="A59" s="2" t="str">
        <x:v>free_compressed / hot90 / sde vs deferred</x:v>
      </x:c>
      <x:c r="B59" s="2" t="n">
        <x:v>104</x:v>
      </x:c>
      <x:c r="C59" s="2" t="str">
        <x:v>C_free_compressed_deferred_hot90_N4096_B64_seed104</x:v>
      </x:c>
      <x:c r="D59" s="2" t="str">
        <x:v>C_free_compressed_sde_hot90_N4096_B64_seed104</x:v>
      </x:c>
      <x:c r="E59" s="8" t="n">
        <x:f>INDEX('原始运行'!$I$2:$I$241,MATCH(C59,'原始运行'!$A$2:$A$241,0))/INDEX('原始运行'!$H$2:$H$241,MATCH(C59,'原始运行'!$A$2:$A$241,0))</x:f>
        <x:v>39142.1875</x:v>
      </x:c>
      <x:c r="F59" s="8" t="n">
        <x:f>INDEX('原始运行'!$I$2:$I$241,MATCH(D59,'原始运行'!$A$2:$A$241,0))/INDEX('原始运行'!$H$2:$H$241,MATCH(D59,'原始运行'!$A$2:$A$241,0))</x:f>
        <x:v>30596.71875</x:v>
      </x:c>
      <x:c r="G59" s="9" t="n">
        <x:f>1-F59/E59</x:f>
        <x:v>0.21831862999481055</x:v>
      </x:c>
      <x:c r="H59" s="10" t="n">
        <x:f>G59^2</x:f>
        <x:v>0.047663024202810995</x:v>
      </x:c>
    </x:row>
    <x:row r="60" ht="22" customHeight="1">
      <x:c r="A60" s="2" t="str">
        <x:v>free_compressed / hot90 / sde vs deferred</x:v>
      </x:c>
      <x:c r="B60" s="2" t="n">
        <x:v>105</x:v>
      </x:c>
      <x:c r="C60" s="2" t="str">
        <x:v>C_free_compressed_deferred_hot90_N4096_B64_seed105</x:v>
      </x:c>
      <x:c r="D60" s="2" t="str">
        <x:v>C_free_compressed_sde_hot90_N4096_B64_seed105</x:v>
      </x:c>
      <x:c r="E60" s="8" t="n">
        <x:f>INDEX('原始运行'!$I$2:$I$241,MATCH(C60,'原始运行'!$A$2:$A$241,0))/INDEX('原始运行'!$H$2:$H$241,MATCH(C60,'原始运行'!$A$2:$A$241,0))</x:f>
        <x:v>39036.73828125</x:v>
      </x:c>
      <x:c r="F60" s="8" t="n">
        <x:f>INDEX('原始运行'!$I$2:$I$241,MATCH(D60,'原始运行'!$A$2:$A$241,0))/INDEX('原始运行'!$H$2:$H$241,MATCH(D60,'原始运行'!$A$2:$A$241,0))</x:f>
        <x:v>30516.685546875</x:v>
      </x:c>
      <x:c r="G60" s="9" t="n">
        <x:f>1-F60/E60</x:f>
        <x:v>0.21825729068320554</x:v>
      </x:c>
      <x:c r="H60" s="10" t="n">
        <x:f>G60^2</x:f>
        <x:v>0.04763624493637328</x:v>
      </x:c>
    </x:row>
    <x:row r="61" ht="22" customHeight="1">
      <x:c r="A61" s="2" t="str">
        <x:v>free_compressed / hot90 / r0 vs ring</x:v>
      </x:c>
      <x:c r="B61" s="2" t="n">
        <x:v>101</x:v>
      </x:c>
      <x:c r="C61" s="2" t="str">
        <x:v>C_free_compressed_ring_hot90_N4096_B64_seed101</x:v>
      </x:c>
      <x:c r="D61" s="2" t="str">
        <x:v>C_free_compressed_r0_hot90_N4096_B64_seed101</x:v>
      </x:c>
      <x:c r="E61" s="8" t="n">
        <x:f>INDEX('原始运行'!$I$2:$I$241,MATCH(C61,'原始运行'!$A$2:$A$241,0))/INDEX('原始运行'!$H$2:$H$241,MATCH(C61,'原始运行'!$A$2:$A$241,0))</x:f>
        <x:v>57942.0234375</x:v>
      </x:c>
      <x:c r="F61" s="8" t="n">
        <x:f>INDEX('原始运行'!$I$2:$I$241,MATCH(D61,'原始运行'!$A$2:$A$241,0))/INDEX('原始运行'!$H$2:$H$241,MATCH(D61,'原始运行'!$A$2:$A$241,0))</x:f>
        <x:v>43757.48046875</x:v>
      </x:c>
      <x:c r="G61" s="9" t="n">
        <x:f>1-F61/E61</x:f>
        <x:v>0.24480579253588486</x:v>
      </x:c>
      <x:c r="H61" s="10" t="n">
        <x:f>G61^2</x:f>
        <x:v>0.0599298760591227</x:v>
      </x:c>
    </x:row>
    <x:row r="62" ht="22" customHeight="1">
      <x:c r="A62" s="2" t="str">
        <x:v>free_compressed / hot90 / r0 vs ring</x:v>
      </x:c>
      <x:c r="B62" s="2" t="n">
        <x:v>102</x:v>
      </x:c>
      <x:c r="C62" s="2" t="str">
        <x:v>C_free_compressed_ring_hot90_N4096_B64_seed102</x:v>
      </x:c>
      <x:c r="D62" s="2" t="str">
        <x:v>C_free_compressed_r0_hot90_N4096_B64_seed102</x:v>
      </x:c>
      <x:c r="E62" s="8" t="n">
        <x:f>INDEX('原始运行'!$I$2:$I$241,MATCH(C62,'原始运行'!$A$2:$A$241,0))/INDEX('原始运行'!$H$2:$H$241,MATCH(C62,'原始运行'!$A$2:$A$241,0))</x:f>
        <x:v>57865.71875</x:v>
      </x:c>
      <x:c r="F62" s="8" t="n">
        <x:f>INDEX('原始运行'!$I$2:$I$241,MATCH(D62,'原始运行'!$A$2:$A$241,0))/INDEX('原始运行'!$H$2:$H$241,MATCH(D62,'原始运行'!$A$2:$A$241,0))</x:f>
        <x:v>43775.828125</x:v>
      </x:c>
      <x:c r="G62" s="9" t="n">
        <x:f>1-F62/E62</x:f>
        <x:v>0.2434928819578518</x:v>
      </x:c>
      <x:c r="H62" s="10" t="n">
        <x:f>G62^2</x:f>
        <x:v>0.05928878356414035</x:v>
      </x:c>
    </x:row>
    <x:row r="63" ht="22" customHeight="1">
      <x:c r="A63" s="2" t="str">
        <x:v>free_compressed / hot90 / r0 vs ring</x:v>
      </x:c>
      <x:c r="B63" s="2" t="n">
        <x:v>103</x:v>
      </x:c>
      <x:c r="C63" s="2" t="str">
        <x:v>C_free_compressed_ring_hot90_N4096_B64_seed103</x:v>
      </x:c>
      <x:c r="D63" s="2" t="str">
        <x:v>C_free_compressed_r0_hot90_N4096_B64_seed103</x:v>
      </x:c>
      <x:c r="E63" s="8" t="n">
        <x:f>INDEX('原始运行'!$I$2:$I$241,MATCH(C63,'原始运行'!$A$2:$A$241,0))/INDEX('原始运行'!$H$2:$H$241,MATCH(C63,'原始运行'!$A$2:$A$241,0))</x:f>
        <x:v>57902.9140625</x:v>
      </x:c>
      <x:c r="F63" s="8" t="n">
        <x:f>INDEX('原始运行'!$I$2:$I$241,MATCH(D63,'原始运行'!$A$2:$A$241,0))/INDEX('原始运行'!$H$2:$H$241,MATCH(D63,'原始运行'!$A$2:$A$241,0))</x:f>
        <x:v>43751.26171875</x:v>
      </x:c>
      <x:c r="G63" s="9" t="n">
        <x:f>1-F63/E63</x:f>
        <x:v>0.24440311118840763</x:v>
      </x:c>
      <x:c r="H63" s="10" t="n">
        <x:f>G63^2</x:f>
        <x:v>0.059732880758573144</x:v>
      </x:c>
    </x:row>
    <x:row r="64" ht="22" customHeight="1">
      <x:c r="A64" s="2" t="str">
        <x:v>free_compressed / hot90 / r0 vs ring</x:v>
      </x:c>
      <x:c r="B64" s="2" t="n">
        <x:v>104</x:v>
      </x:c>
      <x:c r="C64" s="2" t="str">
        <x:v>C_free_compressed_ring_hot90_N4096_B64_seed104</x:v>
      </x:c>
      <x:c r="D64" s="2" t="str">
        <x:v>C_free_compressed_r0_hot90_N4096_B64_seed104</x:v>
      </x:c>
      <x:c r="E64" s="8" t="n">
        <x:f>INDEX('原始运行'!$I$2:$I$241,MATCH(C64,'原始运行'!$A$2:$A$241,0))/INDEX('原始运行'!$H$2:$H$241,MATCH(C64,'原始运行'!$A$2:$A$241,0))</x:f>
        <x:v>58130.6796875</x:v>
      </x:c>
      <x:c r="F64" s="8" t="n">
        <x:f>INDEX('原始运行'!$I$2:$I$241,MATCH(D64,'原始运行'!$A$2:$A$241,0))/INDEX('原始运行'!$H$2:$H$241,MATCH(D64,'原始运行'!$A$2:$A$241,0))</x:f>
        <x:v>43903.33203125</x:v>
      </x:c>
      <x:c r="G64" s="9" t="n">
        <x:f>1-F64/E64</x:f>
        <x:v>0.24474765705017798</x:v>
      </x:c>
      <x:c r="H64" s="10" t="n">
        <x:f>G64^2</x:f>
        <x:v>0.05990141563155153</x:v>
      </x:c>
    </x:row>
    <x:row r="65" ht="22" customHeight="1">
      <x:c r="A65" s="2" t="str">
        <x:v>free_compressed / hot90 / r0 vs ring</x:v>
      </x:c>
      <x:c r="B65" s="2" t="n">
        <x:v>105</x:v>
      </x:c>
      <x:c r="C65" s="2" t="str">
        <x:v>C_free_compressed_ring_hot90_N4096_B64_seed105</x:v>
      </x:c>
      <x:c r="D65" s="2" t="str">
        <x:v>C_free_compressed_r0_hot90_N4096_B64_seed105</x:v>
      </x:c>
      <x:c r="E65" s="8" t="n">
        <x:f>INDEX('原始运行'!$I$2:$I$241,MATCH(C65,'原始运行'!$A$2:$A$241,0))/INDEX('原始运行'!$H$2:$H$241,MATCH(C65,'原始运行'!$A$2:$A$241,0))</x:f>
        <x:v>57923.16015625</x:v>
      </x:c>
      <x:c r="F65" s="8" t="n">
        <x:f>INDEX('原始运行'!$I$2:$I$241,MATCH(D65,'原始运行'!$A$2:$A$241,0))/INDEX('原始运行'!$H$2:$H$241,MATCH(D65,'原始运行'!$A$2:$A$241,0))</x:f>
        <x:v>43785.50390625</x:v>
      </x:c>
      <x:c r="G65" s="9" t="n">
        <x:f>1-F65/E65</x:f>
        <x:v>0.24407605199479998</x:v>
      </x:c>
      <x:c r="H65" s="10" t="n">
        <x:f>G65^2</x:f>
        <x:v>0.05957311915736831</x:v>
      </x:c>
    </x:row>
    <x:row r="66" ht="22" customHeight="1">
      <x:c r="A66" s="2" t="str">
        <x:v>free_compressed / zipf09 / sde vs deferred</x:v>
      </x:c>
      <x:c r="B66" s="2" t="n">
        <x:v>101</x:v>
      </x:c>
      <x:c r="C66" s="2" t="str">
        <x:v>C_free_compressed_deferred_zipf09_N4096_B64_seed101</x:v>
      </x:c>
      <x:c r="D66" s="2" t="str">
        <x:v>C_free_compressed_sde_zipf09_N4096_B64_seed101</x:v>
      </x:c>
      <x:c r="E66" s="8" t="n">
        <x:f>INDEX('原始运行'!$I$2:$I$241,MATCH(C66,'原始运行'!$A$2:$A$241,0))/INDEX('原始运行'!$H$2:$H$241,MATCH(C66,'原始运行'!$A$2:$A$241,0))</x:f>
        <x:v>40039.0625</x:v>
      </x:c>
      <x:c r="F66" s="8" t="n">
        <x:f>INDEX('原始运行'!$I$2:$I$241,MATCH(D66,'原始运行'!$A$2:$A$241,0))/INDEX('原始运行'!$H$2:$H$241,MATCH(D66,'原始运行'!$A$2:$A$241,0))</x:f>
        <x:v>31301.99609375</x:v>
      </x:c>
      <x:c r="G66" s="9" t="n">
        <x:f>1-F66/E66</x:f>
        <x:v>0.21821356097560973</x:v>
      </x:c>
      <x:c r="H66" s="10" t="n">
        <x:f>G66^2</x:f>
        <x:v>0.047617158193656146</x:v>
      </x:c>
    </x:row>
    <x:row r="67" ht="22" customHeight="1">
      <x:c r="A67" s="2" t="str">
        <x:v>free_compressed / zipf09 / sde vs deferred</x:v>
      </x:c>
      <x:c r="B67" s="2" t="n">
        <x:v>102</x:v>
      </x:c>
      <x:c r="C67" s="2" t="str">
        <x:v>C_free_compressed_deferred_zipf09_N4096_B64_seed102</x:v>
      </x:c>
      <x:c r="D67" s="2" t="str">
        <x:v>C_free_compressed_sde_zipf09_N4096_B64_seed102</x:v>
      </x:c>
      <x:c r="E67" s="8" t="n">
        <x:f>INDEX('原始运行'!$I$2:$I$241,MATCH(C67,'原始运行'!$A$2:$A$241,0))/INDEX('原始运行'!$H$2:$H$241,MATCH(C67,'原始运行'!$A$2:$A$241,0))</x:f>
        <x:v>40180</x:v>
      </x:c>
      <x:c r="F67" s="8" t="n">
        <x:f>INDEX('原始运行'!$I$2:$I$241,MATCH(D67,'原始运行'!$A$2:$A$241,0))/INDEX('原始运行'!$H$2:$H$241,MATCH(D67,'原始运行'!$A$2:$A$241,0))</x:f>
        <x:v>31391.390625</x:v>
      </x:c>
      <x:c r="G67" s="9" t="n">
        <x:f>1-F67/E67</x:f>
        <x:v>0.21873094512195124</x:v>
      </x:c>
      <x:c r="H67" s="10" t="n">
        <x:f>G67^2</x:f>
        <x:v>0.047843226353942045</x:v>
      </x:c>
    </x:row>
    <x:row r="68" ht="22" customHeight="1">
      <x:c r="A68" s="2" t="str">
        <x:v>free_compressed / zipf09 / sde vs deferred</x:v>
      </x:c>
      <x:c r="B68" s="2" t="n">
        <x:v>103</x:v>
      </x:c>
      <x:c r="C68" s="2" t="str">
        <x:v>C_free_compressed_deferred_zipf09_N4096_B64_seed103</x:v>
      </x:c>
      <x:c r="D68" s="2" t="str">
        <x:v>C_free_compressed_sde_zipf09_N4096_B64_seed103</x:v>
      </x:c>
      <x:c r="E68" s="8" t="n">
        <x:f>INDEX('原始运行'!$I$2:$I$241,MATCH(C68,'原始运行'!$A$2:$A$241,0))/INDEX('原始运行'!$H$2:$H$241,MATCH(C68,'原始运行'!$A$2:$A$241,0))</x:f>
        <x:v>40039.0625</x:v>
      </x:c>
      <x:c r="F68" s="8" t="n">
        <x:f>INDEX('原始运行'!$I$2:$I$241,MATCH(D68,'原始运行'!$A$2:$A$241,0))/INDEX('原始运行'!$H$2:$H$241,MATCH(D68,'原始运行'!$A$2:$A$241,0))</x:f>
        <x:v>31329.189453125</x:v>
      </x:c>
      <x:c r="G68" s="9" t="n">
        <x:f>1-F68/E68</x:f>
        <x:v>0.21753439024390242</x:v>
      </x:c>
      <x:c r="H68" s="10" t="n">
        <x:f>G68^2</x:f>
        <x:v>0.047321210938786426</x:v>
      </x:c>
    </x:row>
    <x:row r="69" ht="22" customHeight="1">
      <x:c r="A69" s="2" t="str">
        <x:v>free_compressed / zipf09 / sde vs deferred</x:v>
      </x:c>
      <x:c r="B69" s="2" t="n">
        <x:v>104</x:v>
      </x:c>
      <x:c r="C69" s="2" t="str">
        <x:v>C_free_compressed_deferred_zipf09_N4096_B64_seed104</x:v>
      </x:c>
      <x:c r="D69" s="2" t="str">
        <x:v>C_free_compressed_sde_zipf09_N4096_B64_seed104</x:v>
      </x:c>
      <x:c r="E69" s="8" t="n">
        <x:f>INDEX('原始运行'!$I$2:$I$241,MATCH(C69,'原始运行'!$A$2:$A$241,0))/INDEX('原始运行'!$H$2:$H$241,MATCH(C69,'原始运行'!$A$2:$A$241,0))</x:f>
        <x:v>39849.82421875</x:v>
      </x:c>
      <x:c r="F69" s="8" t="n">
        <x:f>INDEX('原始运行'!$I$2:$I$241,MATCH(D69,'原始运行'!$A$2:$A$241,0))/INDEX('原始运行'!$H$2:$H$241,MATCH(D69,'原始运行'!$A$2:$A$241,0))</x:f>
        <x:v>31158.791015625</x:v>
      </x:c>
      <x:c r="G69" s="9" t="n">
        <x:f>1-F69/E69</x:f>
        <x:v>0.2180946434146559</x:v>
      </x:c>
      <x:c r="H69" s="10" t="n">
        <x:f>G69^2</x:f>
        <x:v>0.04756527348616591</x:v>
      </x:c>
    </x:row>
    <x:row r="70" ht="22" customHeight="1">
      <x:c r="A70" s="2" t="str">
        <x:v>free_compressed / zipf09 / sde vs deferred</x:v>
      </x:c>
      <x:c r="B70" s="2" t="n">
        <x:v>105</x:v>
      </x:c>
      <x:c r="C70" s="2" t="str">
        <x:v>C_free_compressed_deferred_zipf09_N4096_B64_seed105</x:v>
      </x:c>
      <x:c r="D70" s="2" t="str">
        <x:v>C_free_compressed_sde_zipf09_N4096_B64_seed105</x:v>
      </x:c>
      <x:c r="E70" s="8" t="n">
        <x:f>INDEX('原始运行'!$I$2:$I$241,MATCH(C70,'原始运行'!$A$2:$A$241,0))/INDEX('原始运行'!$H$2:$H$241,MATCH(C70,'原始运行'!$A$2:$A$241,0))</x:f>
        <x:v>40106.07421875</x:v>
      </x:c>
      <x:c r="F70" s="8" t="n">
        <x:f>INDEX('原始运行'!$I$2:$I$241,MATCH(D70,'原始运行'!$A$2:$A$241,0))/INDEX('原始运行'!$H$2:$H$241,MATCH(D70,'原始运行'!$A$2:$A$241,0))</x:f>
        <x:v>31368.65234375</x:v>
      </x:c>
      <x:c r="G70" s="9" t="n">
        <x:f>1-F70/E70</x:f>
        <x:v>0.21785781942514748</x:v>
      </x:c>
      <x:c r="H70" s="10" t="n">
        <x:f>G70^2</x:f>
        <x:v>0.04746202948468017</x:v>
      </x:c>
    </x:row>
    <x:row r="71" ht="22" customHeight="1">
      <x:c r="A71" s="2" t="str">
        <x:v>free_compressed / zipf09 / r0 vs ring</x:v>
      </x:c>
      <x:c r="B71" s="2" t="n">
        <x:v>101</x:v>
      </x:c>
      <x:c r="C71" s="2" t="str">
        <x:v>C_free_compressed_ring_zipf09_N4096_B64_seed101</x:v>
      </x:c>
      <x:c r="D71" s="2" t="str">
        <x:v>C_free_compressed_r0_zipf09_N4096_B64_seed101</x:v>
      </x:c>
      <x:c r="E71" s="8" t="n">
        <x:f>INDEX('原始运行'!$I$2:$I$241,MATCH(C71,'原始运行'!$A$2:$A$241,0))/INDEX('原始运行'!$H$2:$H$241,MATCH(C71,'原始运行'!$A$2:$A$241,0))</x:f>
        <x:v>59393.44140625</x:v>
      </x:c>
      <x:c r="F71" s="8" t="n">
        <x:f>INDEX('原始运行'!$I$2:$I$241,MATCH(D71,'原始运行'!$A$2:$A$241,0))/INDEX('原始运行'!$H$2:$H$241,MATCH(D71,'原始运行'!$A$2:$A$241,0))</x:f>
        <x:v>44899.6953125</x:v>
      </x:c>
      <x:c r="G71" s="9" t="n">
        <x:f>1-F71/E71</x:f>
        <x:v>0.24402940376216042</x:v>
      </x:c>
      <x:c r="H71" s="10" t="n">
        <x:f>G71^2</x:f>
        <x:v>0.05955034990051552</x:v>
      </x:c>
    </x:row>
    <x:row r="72" ht="22" customHeight="1">
      <x:c r="A72" s="2" t="str">
        <x:v>free_compressed / zipf09 / r0 vs ring</x:v>
      </x:c>
      <x:c r="B72" s="2" t="n">
        <x:v>102</x:v>
      </x:c>
      <x:c r="C72" s="2" t="str">
        <x:v>C_free_compressed_ring_zipf09_N4096_B64_seed102</x:v>
      </x:c>
      <x:c r="D72" s="2" t="str">
        <x:v>C_free_compressed_r0_zipf09_N4096_B64_seed102</x:v>
      </x:c>
      <x:c r="E72" s="8" t="n">
        <x:f>INDEX('原始运行'!$I$2:$I$241,MATCH(C72,'原始运行'!$A$2:$A$241,0))/INDEX('原始运行'!$H$2:$H$241,MATCH(C72,'原始运行'!$A$2:$A$241,0))</x:f>
        <x:v>59616.109375</x:v>
      </x:c>
      <x:c r="F72" s="8" t="n">
        <x:f>INDEX('原始运行'!$I$2:$I$241,MATCH(D72,'原始运行'!$A$2:$A$241,0))/INDEX('原始运行'!$H$2:$H$241,MATCH(D72,'原始运行'!$A$2:$A$241,0))</x:f>
        <x:v>45015.46484375</x:v>
      </x:c>
      <x:c r="G72" s="9" t="n">
        <x:f>1-F72/E72</x:f>
        <x:v>0.24491105985142958</x:v>
      </x:c>
      <x:c r="H72" s="10" t="n">
        <x:f>G72^2</x:f>
        <x:v>0.059981427237550525</x:v>
      </x:c>
    </x:row>
    <x:row r="73" ht="22" customHeight="1">
      <x:c r="A73" s="2" t="str">
        <x:v>free_compressed / zipf09 / r0 vs ring</x:v>
      </x:c>
      <x:c r="B73" s="2" t="n">
        <x:v>103</x:v>
      </x:c>
      <x:c r="C73" s="2" t="str">
        <x:v>C_free_compressed_ring_zipf09_N4096_B64_seed103</x:v>
      </x:c>
      <x:c r="D73" s="2" t="str">
        <x:v>C_free_compressed_r0_zipf09_N4096_B64_seed103</x:v>
      </x:c>
      <x:c r="E73" s="8" t="n">
        <x:f>INDEX('原始运行'!$I$2:$I$241,MATCH(C73,'原始运行'!$A$2:$A$241,0))/INDEX('原始运行'!$H$2:$H$241,MATCH(C73,'原始运行'!$A$2:$A$241,0))</x:f>
        <x:v>59443.41796875</x:v>
      </x:c>
      <x:c r="F73" s="8" t="n">
        <x:f>INDEX('原始运行'!$I$2:$I$241,MATCH(D73,'原始运行'!$A$2:$A$241,0))/INDEX('原始运行'!$H$2:$H$241,MATCH(D73,'原始运行'!$A$2:$A$241,0))</x:f>
        <x:v>44909.62109375</x:v>
      </x:c>
      <x:c r="G73" s="9" t="n">
        <x:f>1-F73/E73</x:f>
        <x:v>0.24449800115196207</x:v>
      </x:c>
      <x:c r="H73" s="10" t="n">
        <x:f>G73^2</x:f>
        <x:v>0.05977927256730485</x:v>
      </x:c>
    </x:row>
    <x:row r="74" ht="22" customHeight="1">
      <x:c r="A74" s="2" t="str">
        <x:v>free_compressed / zipf09 / r0 vs ring</x:v>
      </x:c>
      <x:c r="B74" s="2" t="n">
        <x:v>104</x:v>
      </x:c>
      <x:c r="C74" s="2" t="str">
        <x:v>C_free_compressed_ring_zipf09_N4096_B64_seed104</x:v>
      </x:c>
      <x:c r="D74" s="2" t="str">
        <x:v>C_free_compressed_r0_zipf09_N4096_B64_seed104</x:v>
      </x:c>
      <x:c r="E74" s="8" t="n">
        <x:f>INDEX('原始运行'!$I$2:$I$241,MATCH(C74,'原始运行'!$A$2:$A$241,0))/INDEX('原始运行'!$H$2:$H$241,MATCH(C74,'原始运行'!$A$2:$A$241,0))</x:f>
        <x:v>59113.0859375</x:v>
      </x:c>
      <x:c r="F74" s="8" t="n">
        <x:f>INDEX('原始运行'!$I$2:$I$241,MATCH(D74,'原始运行'!$A$2:$A$241,0))/INDEX('原始运行'!$H$2:$H$241,MATCH(D74,'原始运行'!$A$2:$A$241,0))</x:f>
        <x:v>44657.41796875</x:v>
      </x:c>
      <x:c r="G74" s="9" t="n">
        <x:f>1-F74/E74</x:f>
        <x:v>0.24454260405274586</x:v>
      </x:c>
      <x:c r="H74" s="10" t="n">
        <x:f>G74^2</x:f>
        <x:v>0.059801085196898036</x:v>
      </x:c>
    </x:row>
    <x:row r="75" ht="22" customHeight="1">
      <x:c r="A75" s="2" t="str">
        <x:v>free_compressed / zipf09 / r0 vs ring</x:v>
      </x:c>
      <x:c r="B75" s="2" t="n">
        <x:v>105</x:v>
      </x:c>
      <x:c r="C75" s="2" t="str">
        <x:v>C_free_compressed_ring_zipf09_N4096_B64_seed105</x:v>
      </x:c>
      <x:c r="D75" s="2" t="str">
        <x:v>C_free_compressed_r0_zipf09_N4096_B64_seed105</x:v>
      </x:c>
      <x:c r="E75" s="8" t="n">
        <x:f>INDEX('原始运行'!$I$2:$I$241,MATCH(C75,'原始运行'!$A$2:$A$241,0))/INDEX('原始运行'!$H$2:$H$241,MATCH(C75,'原始运行'!$A$2:$A$241,0))</x:f>
        <x:v>59489.8671875</x:v>
      </x:c>
      <x:c r="F75" s="8" t="n">
        <x:f>INDEX('原始运行'!$I$2:$I$241,MATCH(D75,'原始运行'!$A$2:$A$241,0))/INDEX('原始运行'!$H$2:$H$241,MATCH(D75,'原始运行'!$A$2:$A$241,0))</x:f>
        <x:v>44936.36328125</x:v>
      </x:c>
      <x:c r="G75" s="9" t="n">
        <x:f>1-F75/E75</x:f>
        <x:v>0.24463836606627998</x:v>
      </x:c>
      <x:c r="H75" s="10" t="n">
        <x:f>G75^2</x:f>
        <x:v>0.05984793015157921</x:v>
      </x:c>
    </x:row>
    <x:row r="76" ht="22" customHeight="1">
      <x:c r="A76" s="2" t="str">
        <x:v>free_compressed / scan / sde vs deferred</x:v>
      </x:c>
      <x:c r="B76" s="2" t="n">
        <x:v>101</x:v>
      </x:c>
      <x:c r="C76" s="2" t="str">
        <x:v>C_free_compressed_deferred_scan_N4096_B64_seed101</x:v>
      </x:c>
      <x:c r="D76" s="2" t="str">
        <x:v>C_free_compressed_sde_scan_N4096_B64_seed101</x:v>
      </x:c>
      <x:c r="E76" s="8" t="n">
        <x:f>INDEX('原始运行'!$I$2:$I$241,MATCH(C76,'原始运行'!$A$2:$A$241,0))/INDEX('原始运行'!$H$2:$H$241,MATCH(C76,'原始运行'!$A$2:$A$241,0))</x:f>
        <x:v>18071.5234375</x:v>
      </x:c>
      <x:c r="F76" s="8" t="n">
        <x:f>INDEX('原始运行'!$I$2:$I$241,MATCH(D76,'原始运行'!$A$2:$A$241,0))/INDEX('原始运行'!$H$2:$H$241,MATCH(D76,'原始运行'!$A$2:$A$241,0))</x:f>
        <x:v>14119.955078125</x:v>
      </x:c>
      <x:c r="G76" s="9" t="n">
        <x:f>1-F76/E76</x:f>
        <x:v>0.2186627139123838</x:v>
      </x:c>
      <x:c r="H76" s="10" t="n">
        <x:f>G76^2</x:f>
        <x:v>0.047813382455529</x:v>
      </x:c>
    </x:row>
    <x:row r="77" ht="22" customHeight="1">
      <x:c r="A77" s="2" t="str">
        <x:v>free_compressed / scan / sde vs deferred</x:v>
      </x:c>
      <x:c r="B77" s="2" t="n">
        <x:v>102</x:v>
      </x:c>
      <x:c r="C77" s="2" t="str">
        <x:v>C_free_compressed_deferred_scan_N4096_B64_seed102</x:v>
      </x:c>
      <x:c r="D77" s="2" t="str">
        <x:v>C_free_compressed_sde_scan_N4096_B64_seed102</x:v>
      </x:c>
      <x:c r="E77" s="8" t="n">
        <x:f>INDEX('原始运行'!$I$2:$I$241,MATCH(C77,'原始运行'!$A$2:$A$241,0))/INDEX('原始运行'!$H$2:$H$241,MATCH(C77,'原始运行'!$A$2:$A$241,0))</x:f>
        <x:v>18071.5234375</x:v>
      </x:c>
      <x:c r="F77" s="8" t="n">
        <x:f>INDEX('原始运行'!$I$2:$I$241,MATCH(D77,'原始运行'!$A$2:$A$241,0))/INDEX('原始运行'!$H$2:$H$241,MATCH(D77,'原始运行'!$A$2:$A$241,0))</x:f>
        <x:v>14103.78125</x:v>
      </x:c>
      <x:c r="G77" s="9" t="n">
        <x:f>1-F77/E77</x:f>
        <x:v>0.21955770365582938</x:v>
      </x:c>
      <x:c r="H77" s="10" t="n">
        <x:f>G77^2</x:f>
        <x:v>0.048205585234621</x:v>
      </x:c>
    </x:row>
    <x:row r="78" ht="22" customHeight="1">
      <x:c r="A78" s="2" t="str">
        <x:v>free_compressed / scan / sde vs deferred</x:v>
      </x:c>
      <x:c r="B78" s="2" t="n">
        <x:v>103</x:v>
      </x:c>
      <x:c r="C78" s="2" t="str">
        <x:v>C_free_compressed_deferred_scan_N4096_B64_seed103</x:v>
      </x:c>
      <x:c r="D78" s="2" t="str">
        <x:v>C_free_compressed_sde_scan_N4096_B64_seed103</x:v>
      </x:c>
      <x:c r="E78" s="8" t="n">
        <x:f>INDEX('原始运行'!$I$2:$I$241,MATCH(C78,'原始运行'!$A$2:$A$241,0))/INDEX('原始运行'!$H$2:$H$241,MATCH(C78,'原始运行'!$A$2:$A$241,0))</x:f>
        <x:v>18071.5234375</x:v>
      </x:c>
      <x:c r="F78" s="8" t="n">
        <x:f>INDEX('原始运行'!$I$2:$I$241,MATCH(D78,'原始运行'!$A$2:$A$241,0))/INDEX('原始运行'!$H$2:$H$241,MATCH(D78,'原始运行'!$A$2:$A$241,0))</x:f>
        <x:v>14133.107421875</x:v>
      </x:c>
      <x:c r="G78" s="9" t="n">
        <x:f>1-F78/E78</x:f>
        <x:v>0.2179349200550763</x:v>
      </x:c>
      <x:c r="H78" s="10" t="n">
        <x:f>G78^2</x:f>
        <x:v>0.0474956293794125</x:v>
      </x:c>
    </x:row>
    <x:row r="79" ht="22" customHeight="1">
      <x:c r="A79" s="2" t="str">
        <x:v>free_compressed / scan / sde vs deferred</x:v>
      </x:c>
      <x:c r="B79" s="2" t="n">
        <x:v>104</x:v>
      </x:c>
      <x:c r="C79" s="2" t="str">
        <x:v>C_free_compressed_deferred_scan_N4096_B64_seed104</x:v>
      </x:c>
      <x:c r="D79" s="2" t="str">
        <x:v>C_free_compressed_sde_scan_N4096_B64_seed104</x:v>
      </x:c>
      <x:c r="E79" s="8" t="n">
        <x:f>INDEX('原始运行'!$I$2:$I$241,MATCH(C79,'原始运行'!$A$2:$A$241,0))/INDEX('原始运行'!$H$2:$H$241,MATCH(C79,'原始运行'!$A$2:$A$241,0))</x:f>
        <x:v>18071.5234375</x:v>
      </x:c>
      <x:c r="F79" s="8" t="n">
        <x:f>INDEX('原始运行'!$I$2:$I$241,MATCH(D79,'原始运行'!$A$2:$A$241,0))/INDEX('原始运行'!$H$2:$H$241,MATCH(D79,'原始运行'!$A$2:$A$241,0))</x:f>
        <x:v>14110.357421875</x:v>
      </x:c>
      <x:c r="G79" s="9" t="n">
        <x:f>1-F79/E79</x:f>
        <x:v>0.2191938067271757</x:v>
      </x:c>
      <x:c r="H79" s="10" t="n">
        <x:f>G79^2</x:f>
        <x:v>0.048045924907550455</x:v>
      </x:c>
    </x:row>
    <x:row r="80" ht="22" customHeight="1">
      <x:c r="A80" s="2" t="str">
        <x:v>free_compressed / scan / sde vs deferred</x:v>
      </x:c>
      <x:c r="B80" s="2" t="n">
        <x:v>105</x:v>
      </x:c>
      <x:c r="C80" s="2" t="str">
        <x:v>C_free_compressed_deferred_scan_N4096_B64_seed105</x:v>
      </x:c>
      <x:c r="D80" s="2" t="str">
        <x:v>C_free_compressed_sde_scan_N4096_B64_seed105</x:v>
      </x:c>
      <x:c r="E80" s="8" t="n">
        <x:f>INDEX('原始运行'!$I$2:$I$241,MATCH(C80,'原始运行'!$A$2:$A$241,0))/INDEX('原始运行'!$H$2:$H$241,MATCH(C80,'原始运行'!$A$2:$A$241,0))</x:f>
        <x:v>18071.5234375</x:v>
      </x:c>
      <x:c r="F80" s="8" t="n">
        <x:f>INDEX('原始运行'!$I$2:$I$241,MATCH(D80,'原始运行'!$A$2:$A$241,0))/INDEX('原始运行'!$H$2:$H$241,MATCH(D80,'原始运行'!$A$2:$A$241,0))</x:f>
        <x:v>14125.8203125</x:v>
      </x:c>
      <x:c r="G80" s="9" t="n">
        <x:f>1-F80/E80</x:f>
        <x:v>0.21833815719223315</x:v>
      </x:c>
      <x:c r="H80" s="10" t="n">
        <x:f>G80^2</x:f>
        <x:v>0.04767155088610031</x:v>
      </x:c>
    </x:row>
    <x:row r="81" ht="22" customHeight="1">
      <x:c r="A81" s="2" t="str">
        <x:v>free_compressed / scan / r0 vs ring</x:v>
      </x:c>
      <x:c r="B81" s="2" t="n">
        <x:v>101</x:v>
      </x:c>
      <x:c r="C81" s="2" t="str">
        <x:v>C_free_compressed_ring_scan_N4096_B64_seed101</x:v>
      </x:c>
      <x:c r="D81" s="2" t="str">
        <x:v>C_free_compressed_r0_scan_N4096_B64_seed101</x:v>
      </x:c>
      <x:c r="E81" s="8" t="n">
        <x:f>INDEX('原始运行'!$I$2:$I$241,MATCH(C81,'原始运行'!$A$2:$A$241,0))/INDEX('原始运行'!$H$2:$H$241,MATCH(C81,'原始运行'!$A$2:$A$241,0))</x:f>
        <x:v>26793.609375</x:v>
      </x:c>
      <x:c r="F81" s="8" t="n">
        <x:f>INDEX('原始运行'!$I$2:$I$241,MATCH(D81,'原始运行'!$A$2:$A$241,0))/INDEX('原始运行'!$H$2:$H$241,MATCH(D81,'原始运行'!$A$2:$A$241,0))</x:f>
        <x:v>20220.45703125</x:v>
      </x:c>
      <x:c r="G81" s="9" t="n">
        <x:f>1-F81/E81</x:f>
        <x:v>0.24532537784488018</x:v>
      </x:c>
      <x:c r="H81" s="10" t="n">
        <x:f>G81^2</x:f>
        <x:v>0.06018454101473322</x:v>
      </x:c>
    </x:row>
    <x:row r="82" ht="22" customHeight="1">
      <x:c r="A82" s="2" t="str">
        <x:v>free_compressed / scan / r0 vs ring</x:v>
      </x:c>
      <x:c r="B82" s="2" t="n">
        <x:v>102</x:v>
      </x:c>
      <x:c r="C82" s="2" t="str">
        <x:v>C_free_compressed_ring_scan_N4096_B64_seed102</x:v>
      </x:c>
      <x:c r="D82" s="2" t="str">
        <x:v>C_free_compressed_r0_scan_N4096_B64_seed102</x:v>
      </x:c>
      <x:c r="E82" s="8" t="n">
        <x:f>INDEX('原始运行'!$I$2:$I$241,MATCH(C82,'原始运行'!$A$2:$A$241,0))/INDEX('原始运行'!$H$2:$H$241,MATCH(C82,'原始运行'!$A$2:$A$241,0))</x:f>
        <x:v>26781.34765625</x:v>
      </x:c>
      <x:c r="F82" s="8" t="n">
        <x:f>INDEX('原始运行'!$I$2:$I$241,MATCH(D82,'原始运行'!$A$2:$A$241,0))/INDEX('原始运行'!$H$2:$H$241,MATCH(D82,'原始运行'!$A$2:$A$241,0))</x:f>
        <x:v>20185.984375</x:v>
      </x:c>
      <x:c r="G82" s="9" t="n">
        <x:f>1-F82/E82</x:f>
        <x:v>0.24626704249182285</x:v>
      </x:c>
      <x:c r="H82" s="10" t="n">
        <x:f>G82^2</x:f>
        <x:v>0.06064745621766928</x:v>
      </x:c>
    </x:row>
    <x:row r="83" ht="22" customHeight="1">
      <x:c r="A83" s="2" t="str">
        <x:v>free_compressed / scan / r0 vs ring</x:v>
      </x:c>
      <x:c r="B83" s="2" t="n">
        <x:v>103</x:v>
      </x:c>
      <x:c r="C83" s="2" t="str">
        <x:v>C_free_compressed_ring_scan_N4096_B64_seed103</x:v>
      </x:c>
      <x:c r="D83" s="2" t="str">
        <x:v>C_free_compressed_r0_scan_N4096_B64_seed103</x:v>
      </x:c>
      <x:c r="E83" s="8" t="n">
        <x:f>INDEX('原始运行'!$I$2:$I$241,MATCH(C83,'原始运行'!$A$2:$A$241,0))/INDEX('原始运行'!$H$2:$H$241,MATCH(C83,'原始运行'!$A$2:$A$241,0))</x:f>
        <x:v>26812.203125</x:v>
      </x:c>
      <x:c r="F83" s="8" t="n">
        <x:f>INDEX('原始运行'!$I$2:$I$241,MATCH(D83,'原始运行'!$A$2:$A$241,0))/INDEX('原始运行'!$H$2:$H$241,MATCH(D83,'原始运行'!$A$2:$A$241,0))</x:f>
        <x:v>20232.97265625</x:v>
      </x:c>
      <x:c r="G83" s="9" t="n">
        <x:f>1-F83/E83</x:f>
        <x:v>0.2453819418746478</x:v>
      </x:c>
      <x:c r="H83" s="10" t="n">
        <x:f>G83^2</x:f>
        <x:v>0.06021229739817303</x:v>
      </x:c>
    </x:row>
    <x:row r="84" ht="22" customHeight="1">
      <x:c r="A84" s="2" t="str">
        <x:v>free_compressed / scan / r0 vs ring</x:v>
      </x:c>
      <x:c r="B84" s="2" t="n">
        <x:v>104</x:v>
      </x:c>
      <x:c r="C84" s="2" t="str">
        <x:v>C_free_compressed_ring_scan_N4096_B64_seed104</x:v>
      </x:c>
      <x:c r="D84" s="2" t="str">
        <x:v>C_free_compressed_r0_scan_N4096_B64_seed104</x:v>
      </x:c>
      <x:c r="E84" s="8" t="n">
        <x:f>INDEX('原始运行'!$I$2:$I$241,MATCH(C84,'原始运行'!$A$2:$A$241,0))/INDEX('原始运行'!$H$2:$H$241,MATCH(C84,'原始运行'!$A$2:$A$241,0))</x:f>
        <x:v>26776.21875</x:v>
      </x:c>
      <x:c r="F84" s="8" t="n">
        <x:f>INDEX('原始运行'!$I$2:$I$241,MATCH(D84,'原始运行'!$A$2:$A$241,0))/INDEX('原始运行'!$H$2:$H$241,MATCH(D84,'原始运行'!$A$2:$A$241,0))</x:f>
        <x:v>20192.6328125</x:v>
      </x:c>
      <x:c r="G84" s="9" t="n">
        <x:f>1-F84/E84</x:f>
        <x:v>0.24587437079778118</x:v>
      </x:c>
      <x:c r="H84" s="10" t="n">
        <x:f>G84^2</x:f>
        <x:v>0.060454206215204795</x:v>
      </x:c>
    </x:row>
    <x:row r="85" ht="22" customHeight="1">
      <x:c r="A85" s="2" t="str">
        <x:v>free_compressed / scan / r0 vs ring</x:v>
      </x:c>
      <x:c r="B85" s="2" t="n">
        <x:v>105</x:v>
      </x:c>
      <x:c r="C85" s="2" t="str">
        <x:v>C_free_compressed_ring_scan_N4096_B64_seed105</x:v>
      </x:c>
      <x:c r="D85" s="2" t="str">
        <x:v>C_free_compressed_r0_scan_N4096_B64_seed105</x:v>
      </x:c>
      <x:c r="E85" s="8" t="n">
        <x:f>INDEX('原始运行'!$I$2:$I$241,MATCH(C85,'原始运行'!$A$2:$A$241,0))/INDEX('原始运行'!$H$2:$H$241,MATCH(C85,'原始运行'!$A$2:$A$241,0))</x:f>
        <x:v>26754.28515625</x:v>
      </x:c>
      <x:c r="F85" s="8" t="n">
        <x:f>INDEX('原始运行'!$I$2:$I$241,MATCH(D85,'原始运行'!$A$2:$A$241,0))/INDEX('原始运行'!$H$2:$H$241,MATCH(D85,'原始运行'!$A$2:$A$241,0))</x:f>
        <x:v>20214.0234375</x:v>
      </x:c>
      <x:c r="G85" s="9" t="n">
        <x:f>1-F85/E85</x:f>
        <x:v>0.24445660500939026</x:v>
      </x:c>
      <x:c r="H85" s="10" t="n">
        <x:f>G85^2</x:f>
        <x:v>0.059759031732717044</x:v>
      </x:c>
    </x:row>
    <x:row r="86" ht="22" customHeight="1">
      <x:c r="A86" s="2" t="str">
        <x:v>rho / uniform / sde vs deferred</x:v>
      </x:c>
      <x:c r="B86" s="2" t="n">
        <x:v>101</x:v>
      </x:c>
      <x:c r="C86" s="2" t="str">
        <x:v>C2_rho_deferred_uniform_N4096_B64_seed101</x:v>
      </x:c>
      <x:c r="D86" s="2" t="str">
        <x:v>C2_rho_sde_uniform_N4096_B64_seed101</x:v>
      </x:c>
      <x:c r="E86" s="8" t="n">
        <x:f>INDEX('原始运行'!$I$2:$I$241,MATCH(C86,'原始运行'!$A$2:$A$241,0))/INDEX('原始运行'!$H$2:$H$241,MATCH(C86,'原始运行'!$A$2:$A$241,0))</x:f>
        <x:v>44381.9296875</x:v>
      </x:c>
      <x:c r="F86" s="8" t="n">
        <x:f>INDEX('原始运行'!$I$2:$I$241,MATCH(D86,'原始运行'!$A$2:$A$241,0))/INDEX('原始运行'!$H$2:$H$241,MATCH(D86,'原始运行'!$A$2:$A$241,0))</x:f>
        <x:v>40704.783203125</x:v>
      </x:c>
      <x:c r="G86" s="9" t="n">
        <x:f>1-F86/E86</x:f>
        <x:v>0.08285233450339713</x:v>
      </x:c>
      <x:c r="H86" s="10" t="n">
        <x:f>G86^2</x:f>
        <x:v>0.00686450933266281</x:v>
      </x:c>
    </x:row>
    <x:row r="87" ht="22" customHeight="1">
      <x:c r="A87" s="2" t="str">
        <x:v>rho / uniform / sde vs deferred</x:v>
      </x:c>
      <x:c r="B87" s="2" t="n">
        <x:v>102</x:v>
      </x:c>
      <x:c r="C87" s="2" t="str">
        <x:v>C2_rho_deferred_uniform_N4096_B64_seed102</x:v>
      </x:c>
      <x:c r="D87" s="2" t="str">
        <x:v>C2_rho_sde_uniform_N4096_B64_seed102</x:v>
      </x:c>
      <x:c r="E87" s="8" t="n">
        <x:f>INDEX('原始运行'!$I$2:$I$241,MATCH(C87,'原始运行'!$A$2:$A$241,0))/INDEX('原始运行'!$H$2:$H$241,MATCH(C87,'原始运行'!$A$2:$A$241,0))</x:f>
        <x:v>44290.56640625</x:v>
      </x:c>
      <x:c r="F87" s="8" t="n">
        <x:f>INDEX('原始运行'!$I$2:$I$241,MATCH(D87,'原始运行'!$A$2:$A$241,0))/INDEX('原始运行'!$H$2:$H$241,MATCH(D87,'原始运行'!$A$2:$A$241,0))</x:f>
        <x:v>40603.64453125</x:v>
      </x:c>
      <x:c r="G87" s="9" t="n">
        <x:f>1-F87/E87</x:f>
        <x:v>0.08324395405518514</x:v>
      </x:c>
      <x:c r="H87" s="10" t="n">
        <x:f>G87^2</x:f>
        <x:v>0.006929555886741775</x:v>
      </x:c>
    </x:row>
    <x:row r="88" ht="22" customHeight="1">
      <x:c r="A88" s="2" t="str">
        <x:v>rho / uniform / sde vs deferred</x:v>
      </x:c>
      <x:c r="B88" s="2" t="n">
        <x:v>103</x:v>
      </x:c>
      <x:c r="C88" s="2" t="str">
        <x:v>C2_rho_deferred_uniform_N4096_B64_seed103</x:v>
      </x:c>
      <x:c r="D88" s="2" t="str">
        <x:v>C2_rho_sde_uniform_N4096_B64_seed103</x:v>
      </x:c>
      <x:c r="E88" s="8" t="n">
        <x:f>INDEX('原始运行'!$I$2:$I$241,MATCH(C88,'原始运行'!$A$2:$A$241,0))/INDEX('原始运行'!$H$2:$H$241,MATCH(C88,'原始运行'!$A$2:$A$241,0))</x:f>
        <x:v>44286.6015625</x:v>
      </x:c>
      <x:c r="F88" s="8" t="n">
        <x:f>INDEX('原始运行'!$I$2:$I$241,MATCH(D88,'原始运行'!$A$2:$A$241,0))/INDEX('原始运行'!$H$2:$H$241,MATCH(D88,'原始运行'!$A$2:$A$241,0))</x:f>
        <x:v>40602.701171875</x:v>
      </x:c>
      <x:c r="G88" s="9" t="n">
        <x:f>1-F88/E88</x:f>
        <x:v>0.08318318093173283</x:v>
      </x:c>
      <x:c r="H88" s="10" t="n">
        <x:f>G88^2</x:f>
        <x:v>0.006919441589921399</x:v>
      </x:c>
    </x:row>
    <x:row r="89" ht="22" customHeight="1">
      <x:c r="A89" s="2" t="str">
        <x:v>rho / uniform / sde vs deferred</x:v>
      </x:c>
      <x:c r="B89" s="2" t="n">
        <x:v>104</x:v>
      </x:c>
      <x:c r="C89" s="2" t="str">
        <x:v>C2_rho_deferred_uniform_N4096_B64_seed104</x:v>
      </x:c>
      <x:c r="D89" s="2" t="str">
        <x:v>C2_rho_sde_uniform_N4096_B64_seed104</x:v>
      </x:c>
      <x:c r="E89" s="8" t="n">
        <x:f>INDEX('原始运行'!$I$2:$I$241,MATCH(C89,'原始运行'!$A$2:$A$241,0))/INDEX('原始运行'!$H$2:$H$241,MATCH(C89,'原始运行'!$A$2:$A$241,0))</x:f>
        <x:v>44213.1015625</x:v>
      </x:c>
      <x:c r="F89" s="8" t="n">
        <x:f>INDEX('原始运行'!$I$2:$I$241,MATCH(D89,'原始运行'!$A$2:$A$241,0))/INDEX('原始运行'!$H$2:$H$241,MATCH(D89,'原始运行'!$A$2:$A$241,0))</x:f>
        <x:v>40562.259765625</x:v>
      </x:c>
      <x:c r="G89" s="9" t="n">
        <x:f>1-F89/E89</x:f>
        <x:v>0.08257375456264116</x:v>
      </x:c>
      <x:c r="H89" s="10" t="n">
        <x:f>G89^2</x:f>
        <x:v>0.006818424942571301</x:v>
      </x:c>
    </x:row>
    <x:row r="90" ht="22" customHeight="1">
      <x:c r="A90" s="2" t="str">
        <x:v>rho / uniform / sde vs deferred</x:v>
      </x:c>
      <x:c r="B90" s="2" t="n">
        <x:v>105</x:v>
      </x:c>
      <x:c r="C90" s="2" t="str">
        <x:v>C2_rho_deferred_uniform_N4096_B64_seed105</x:v>
      </x:c>
      <x:c r="D90" s="2" t="str">
        <x:v>C2_rho_sde_uniform_N4096_B64_seed105</x:v>
      </x:c>
      <x:c r="E90" s="8" t="n">
        <x:f>INDEX('原始运行'!$I$2:$I$241,MATCH(C90,'原始运行'!$A$2:$A$241,0))/INDEX('原始运行'!$H$2:$H$241,MATCH(C90,'原始运行'!$A$2:$A$241,0))</x:f>
        <x:v>44209.13671875</x:v>
      </x:c>
      <x:c r="F90" s="8" t="n">
        <x:f>INDEX('原始运行'!$I$2:$I$241,MATCH(D90,'原始运行'!$A$2:$A$241,0))/INDEX('原始运行'!$H$2:$H$241,MATCH(D90,'原始运行'!$A$2:$A$241,0))</x:f>
        <x:v>40555.451171875</x:v>
      </x:c>
      <x:c r="G90" s="9" t="n">
        <x:f>1-F90/E90</x:f>
        <x:v>0.08264548502991687</x:v>
      </x:c>
      <x:c r="H90" s="10" t="n">
        <x:f>G90^2</x:f>
        <x:v>0.006830276195830213</x:v>
      </x:c>
    </x:row>
    <x:row r="91" ht="22" customHeight="1">
      <x:c r="A91" s="2" t="str">
        <x:v>rho / uniform / r0 vs ring</x:v>
      </x:c>
      <x:c r="B91" s="2" t="n">
        <x:v>101</x:v>
      </x:c>
      <x:c r="C91" s="2" t="str">
        <x:v>C2_rho_ring_uniform_N4096_B64_seed101</x:v>
      </x:c>
      <x:c r="D91" s="2" t="str">
        <x:v>C2_rho_r0_uniform_N4096_B64_seed101</x:v>
      </x:c>
      <x:c r="E91" s="8" t="n">
        <x:f>INDEX('原始运行'!$I$2:$I$241,MATCH(C91,'原始运行'!$A$2:$A$241,0))/INDEX('原始运行'!$H$2:$H$241,MATCH(C91,'原始运行'!$A$2:$A$241,0))</x:f>
        <x:v>52492.82421875</x:v>
      </x:c>
      <x:c r="F91" s="8" t="n">
        <x:f>INDEX('原始运行'!$I$2:$I$241,MATCH(D91,'原始运行'!$A$2:$A$241,0))/INDEX('原始运行'!$H$2:$H$241,MATCH(D91,'原始运行'!$A$2:$A$241,0))</x:f>
        <x:v>46390.05078125</x:v>
      </x:c>
      <x:c r="G91" s="9" t="n">
        <x:f>1-F91/E91</x:f>
        <x:v>0.11625919405799734</x:v>
      </x:c>
      <x:c r="H91" s="10" t="n">
        <x:f>G91^2</x:f>
        <x:v>0.013516200203015085</x:v>
      </x:c>
    </x:row>
    <x:row r="92" ht="22" customHeight="1">
      <x:c r="A92" s="2" t="str">
        <x:v>rho / uniform / r0 vs ring</x:v>
      </x:c>
      <x:c r="B92" s="2" t="n">
        <x:v>102</x:v>
      </x:c>
      <x:c r="C92" s="2" t="str">
        <x:v>C2_rho_ring_uniform_N4096_B64_seed102</x:v>
      </x:c>
      <x:c r="D92" s="2" t="str">
        <x:v>C2_rho_r0_uniform_N4096_B64_seed102</x:v>
      </x:c>
      <x:c r="E92" s="8" t="n">
        <x:f>INDEX('原始运行'!$I$2:$I$241,MATCH(C92,'原始运行'!$A$2:$A$241,0))/INDEX('原始运行'!$H$2:$H$241,MATCH(C92,'原始运行'!$A$2:$A$241,0))</x:f>
        <x:v>52388.46875</x:v>
      </x:c>
      <x:c r="F92" s="8" t="n">
        <x:f>INDEX('原始运行'!$I$2:$I$241,MATCH(D92,'原始运行'!$A$2:$A$241,0))/INDEX('原始运行'!$H$2:$H$241,MATCH(D92,'原始运行'!$A$2:$A$241,0))</x:f>
        <x:v>46275.10546875</x:v>
      </x:c>
      <x:c r="G92" s="9" t="n">
        <x:f>1-F92/E92</x:f>
        <x:v>0.11669291787135883</x:v>
      </x:c>
      <x:c r="H92" s="10" t="n">
        <x:f>G92^2</x:f>
        <x:v>0.013617237081331696</x:v>
      </x:c>
    </x:row>
    <x:row r="93" ht="22" customHeight="1">
      <x:c r="A93" s="2" t="str">
        <x:v>rho / uniform / r0 vs ring</x:v>
      </x:c>
      <x:c r="B93" s="2" t="n">
        <x:v>103</x:v>
      </x:c>
      <x:c r="C93" s="2" t="str">
        <x:v>C2_rho_ring_uniform_N4096_B64_seed103</x:v>
      </x:c>
      <x:c r="D93" s="2" t="str">
        <x:v>C2_rho_r0_uniform_N4096_B64_seed103</x:v>
      </x:c>
      <x:c r="E93" s="8" t="n">
        <x:f>INDEX('原始运行'!$I$2:$I$241,MATCH(C93,'原始运行'!$A$2:$A$241,0))/INDEX('原始运行'!$H$2:$H$241,MATCH(C93,'原始运行'!$A$2:$A$241,0))</x:f>
        <x:v>52393.5390625</x:v>
      </x:c>
      <x:c r="F93" s="8" t="n">
        <x:f>INDEX('原始运行'!$I$2:$I$241,MATCH(D93,'原始运行'!$A$2:$A$241,0))/INDEX('原始运行'!$H$2:$H$241,MATCH(D93,'原始运行'!$A$2:$A$241,0))</x:f>
        <x:v>46284.078125</x:v>
      </x:c>
      <x:c r="G93" s="9" t="n">
        <x:f>1-F93/E93</x:f>
        <x:v>0.11660714368258374</x:v>
      </x:c>
      <x:c r="H93" s="10" t="n">
        <x:f>G93^2</x:f>
        <x:v>0.013597225957810728</x:v>
      </x:c>
    </x:row>
    <x:row r="94" ht="22" customHeight="1">
      <x:c r="A94" s="2" t="str">
        <x:v>rho / uniform / r0 vs ring</x:v>
      </x:c>
      <x:c r="B94" s="2" t="n">
        <x:v>104</x:v>
      </x:c>
      <x:c r="C94" s="2" t="str">
        <x:v>C2_rho_ring_uniform_N4096_B64_seed104</x:v>
      </x:c>
      <x:c r="D94" s="2" t="str">
        <x:v>C2_rho_r0_uniform_N4096_B64_seed104</x:v>
      </x:c>
      <x:c r="E94" s="8" t="n">
        <x:f>INDEX('原始运行'!$I$2:$I$241,MATCH(C94,'原始运行'!$A$2:$A$241,0))/INDEX('原始运行'!$H$2:$H$241,MATCH(C94,'原始运行'!$A$2:$A$241,0))</x:f>
        <x:v>52309.29296875</x:v>
      </x:c>
      <x:c r="F94" s="8" t="n">
        <x:f>INDEX('原始运行'!$I$2:$I$241,MATCH(D94,'原始运行'!$A$2:$A$241,0))/INDEX('原始运行'!$H$2:$H$241,MATCH(D94,'原始运行'!$A$2:$A$241,0))</x:f>
        <x:v>46215.8984375</x:v>
      </x:c>
      <x:c r="G94" s="9" t="n">
        <x:f>1-F94/E94</x:f>
        <x:v>0.11648780141016712</x:v>
      </x:c>
      <x:c r="H94" s="10" t="n">
        <x:f>G94^2</x:f>
        <x:v>0.013569407877374534</x:v>
      </x:c>
    </x:row>
    <x:row r="95" ht="22" customHeight="1">
      <x:c r="A95" s="2" t="str">
        <x:v>rho / uniform / r0 vs ring</x:v>
      </x:c>
      <x:c r="B95" s="2" t="n">
        <x:v>105</x:v>
      </x:c>
      <x:c r="C95" s="2" t="str">
        <x:v>C2_rho_ring_uniform_N4096_B64_seed105</x:v>
      </x:c>
      <x:c r="D95" s="2" t="str">
        <x:v>C2_rho_r0_uniform_N4096_B64_seed105</x:v>
      </x:c>
      <x:c r="E95" s="8" t="n">
        <x:f>INDEX('原始运行'!$I$2:$I$241,MATCH(C95,'原始运行'!$A$2:$A$241,0))/INDEX('原始运行'!$H$2:$H$241,MATCH(C95,'原始运行'!$A$2:$A$241,0))</x:f>
        <x:v>52301.03515625</x:v>
      </x:c>
      <x:c r="F95" s="8" t="n">
        <x:f>INDEX('原始运行'!$I$2:$I$241,MATCH(D95,'原始运行'!$A$2:$A$241,0))/INDEX('原始运行'!$H$2:$H$241,MATCH(D95,'原始运行'!$A$2:$A$241,0))</x:f>
        <x:v>46218.734375</x:v>
      </x:c>
      <x:c r="G95" s="9" t="n">
        <x:f>1-F95/E95</x:f>
        <x:v>0.11629408028118471</x:v>
      </x:c>
      <x:c r="H95" s="10" t="n">
        <x:f>G95^2</x:f>
        <x:v>0.013524313108446633</x:v>
      </x:c>
    </x:row>
    <x:row r="96" ht="22" customHeight="1">
      <x:c r="A96" s="2" t="str">
        <x:v>rho / hot90 / sde vs deferred</x:v>
      </x:c>
      <x:c r="B96" s="2" t="n">
        <x:v>101</x:v>
      </x:c>
      <x:c r="C96" s="2" t="str">
        <x:v>C2_rho_deferred_hot90_N4096_B64_seed101</x:v>
      </x:c>
      <x:c r="D96" s="2" t="str">
        <x:v>C2_rho_sde_hot90_N4096_B64_seed101</x:v>
      </x:c>
      <x:c r="E96" s="8" t="n">
        <x:f>INDEX('原始运行'!$I$2:$I$241,MATCH(C96,'原始运行'!$A$2:$A$241,0))/INDEX('原始运行'!$H$2:$H$241,MATCH(C96,'原始运行'!$A$2:$A$241,0))</x:f>
        <x:v>7921.0234375</x:v>
      </x:c>
      <x:c r="F96" s="8" t="n">
        <x:f>INDEX('原始运行'!$I$2:$I$241,MATCH(D96,'原始运行'!$A$2:$A$241,0))/INDEX('原始运行'!$H$2:$H$241,MATCH(D96,'原始运行'!$A$2:$A$241,0))</x:f>
        <x:v>7250.25390625</x:v>
      </x:c>
      <x:c r="G96" s="9" t="n">
        <x:f>1-F96/E96</x:f>
        <x:v>0.08468217983984472</x:v>
      </x:c>
      <x:c r="H96" s="10" t="n">
        <x:f>G96^2</x:f>
        <x:v>0.007171071582427803</x:v>
      </x:c>
    </x:row>
    <x:row r="97" ht="22" customHeight="1">
      <x:c r="A97" s="2" t="str">
        <x:v>rho / hot90 / sde vs deferred</x:v>
      </x:c>
      <x:c r="B97" s="2" t="n">
        <x:v>102</x:v>
      </x:c>
      <x:c r="C97" s="2" t="str">
        <x:v>C2_rho_deferred_hot90_N4096_B64_seed102</x:v>
      </x:c>
      <x:c r="D97" s="2" t="str">
        <x:v>C2_rho_sde_hot90_N4096_B64_seed102</x:v>
      </x:c>
      <x:c r="E97" s="8" t="n">
        <x:f>INDEX('原始运行'!$I$2:$I$241,MATCH(C97,'原始运行'!$A$2:$A$241,0))/INDEX('原始运行'!$H$2:$H$241,MATCH(C97,'原始运行'!$A$2:$A$241,0))</x:f>
        <x:v>7954.7890625</x:v>
      </x:c>
      <x:c r="F97" s="8" t="n">
        <x:f>INDEX('原始运行'!$I$2:$I$241,MATCH(D97,'原始运行'!$A$2:$A$241,0))/INDEX('原始运行'!$H$2:$H$241,MATCH(D97,'原始运行'!$A$2:$A$241,0))</x:f>
        <x:v>7294.505859375</x:v>
      </x:c>
      <x:c r="G97" s="9" t="n">
        <x:f>1-F97/E97</x:f>
        <x:v>0.08300448923751713</x:v>
      </x:c>
      <x:c r="H97" s="10" t="n">
        <x:f>G97^2</x:f>
        <x:v>0.006889745233581097</x:v>
      </x:c>
    </x:row>
    <x:row r="98" ht="22" customHeight="1">
      <x:c r="A98" s="2" t="str">
        <x:v>rho / hot90 / sde vs deferred</x:v>
      </x:c>
      <x:c r="B98" s="2" t="n">
        <x:v>103</x:v>
      </x:c>
      <x:c r="C98" s="2" t="str">
        <x:v>C2_rho_deferred_hot90_N4096_B64_seed103</x:v>
      </x:c>
      <x:c r="D98" s="2" t="str">
        <x:v>C2_rho_sde_hot90_N4096_B64_seed103</x:v>
      </x:c>
      <x:c r="E98" s="8" t="n">
        <x:f>INDEX('原始运行'!$I$2:$I$241,MATCH(C98,'原始运行'!$A$2:$A$241,0))/INDEX('原始运行'!$H$2:$H$241,MATCH(C98,'原始运行'!$A$2:$A$241,0))</x:f>
        <x:v>7924.98828125</x:v>
      </x:c>
      <x:c r="F98" s="8" t="n">
        <x:f>INDEX('原始运行'!$I$2:$I$241,MATCH(D98,'原始运行'!$A$2:$A$241,0))/INDEX('原始运行'!$H$2:$H$241,MATCH(D98,'原始运行'!$A$2:$A$241,0))</x:f>
        <x:v>7267.548828125</x:v>
      </x:c>
      <x:c r="G98" s="9" t="n">
        <x:f>1-F98/E98</x:f>
        <x:v>0.08295778237053786</x:v>
      </x:c>
      <x:c r="H98" s="10" t="n">
        <x:f>G98^2</x:f>
        <x:v>0.006881993655837522</x:v>
      </x:c>
    </x:row>
    <x:row r="99" ht="22" customHeight="1">
      <x:c r="A99" s="2" t="str">
        <x:v>rho / hot90 / sde vs deferred</x:v>
      </x:c>
      <x:c r="B99" s="2" t="n">
        <x:v>104</x:v>
      </x:c>
      <x:c r="C99" s="2" t="str">
        <x:v>C2_rho_deferred_hot90_N4096_B64_seed104</x:v>
      </x:c>
      <x:c r="D99" s="2" t="str">
        <x:v>C2_rho_sde_hot90_N4096_B64_seed104</x:v>
      </x:c>
      <x:c r="E99" s="8" t="n">
        <x:f>INDEX('原始运行'!$I$2:$I$241,MATCH(C99,'原始运行'!$A$2:$A$241,0))/INDEX('原始运行'!$H$2:$H$241,MATCH(C99,'原始运行'!$A$2:$A$241,0))</x:f>
        <x:v>8016.3515625</x:v>
      </x:c>
      <x:c r="F99" s="8" t="n">
        <x:f>INDEX('原始运行'!$I$2:$I$241,MATCH(D99,'原始运行'!$A$2:$A$241,0))/INDEX('原始运行'!$H$2:$H$241,MATCH(D99,'原始运行'!$A$2:$A$241,0))</x:f>
        <x:v>7353.046875</x:v>
      </x:c>
      <x:c r="G99" s="9" t="n">
        <x:f>1-F99/E99</x:f>
        <x:v>0.08274396180463173</x:v>
      </x:c>
      <x:c r="H99" s="10" t="n">
        <x:f>G99^2</x:f>
        <x:v>0.006846563215126354</x:v>
      </x:c>
    </x:row>
    <x:row r="100" ht="22" customHeight="1">
      <x:c r="A100" s="2" t="str">
        <x:v>rho / hot90 / sde vs deferred</x:v>
      </x:c>
      <x:c r="B100" s="2" t="n">
        <x:v>105</x:v>
      </x:c>
      <x:c r="C100" s="2" t="str">
        <x:v>C2_rho_deferred_hot90_N4096_B64_seed105</x:v>
      </x:c>
      <x:c r="D100" s="2" t="str">
        <x:v>C2_rho_sde_hot90_N4096_B64_seed105</x:v>
      </x:c>
      <x:c r="E100" s="8" t="n">
        <x:f>INDEX('原始运行'!$I$2:$I$241,MATCH(C100,'原始运行'!$A$2:$A$241,0))/INDEX('原始运行'!$H$2:$H$241,MATCH(C100,'原始运行'!$A$2:$A$241,0))</x:f>
        <x:v>8016.3515625</x:v>
      </x:c>
      <x:c r="F100" s="8" t="n">
        <x:f>INDEX('原始运行'!$I$2:$I$241,MATCH(D100,'原始运行'!$A$2:$A$241,0))/INDEX('原始运行'!$H$2:$H$241,MATCH(D100,'原始运行'!$A$2:$A$241,0))</x:f>
        <x:v>7357.845703125</x:v>
      </x:c>
      <x:c r="G100" s="9" t="n">
        <x:f>1-F100/E100</x:f>
        <x:v>0.08214533185588446</x:v>
      </x:c>
      <x:c r="H100" s="10" t="n">
        <x:f>G100^2</x:f>
        <x:v>0.0067478555457133865</x:v>
      </x:c>
    </x:row>
    <x:row r="101" ht="22" customHeight="1">
      <x:c r="A101" s="2" t="str">
        <x:v>rho / hot90 / r0 vs ring</x:v>
      </x:c>
      <x:c r="B101" s="2" t="n">
        <x:v>101</x:v>
      </x:c>
      <x:c r="C101" s="2" t="str">
        <x:v>C2_rho_ring_hot90_N4096_B64_seed101</x:v>
      </x:c>
      <x:c r="D101" s="2" t="str">
        <x:v>C2_rho_r0_hot90_N4096_B64_seed101</x:v>
      </x:c>
      <x:c r="E101" s="8" t="n">
        <x:f>INDEX('原始运行'!$I$2:$I$241,MATCH(C101,'原始运行'!$A$2:$A$241,0))/INDEX('原始运行'!$H$2:$H$241,MATCH(C101,'原始运行'!$A$2:$A$241,0))</x:f>
        <x:v>9351.328125</x:v>
      </x:c>
      <x:c r="F101" s="8" t="n">
        <x:f>INDEX('原始运行'!$I$2:$I$241,MATCH(D101,'原始运行'!$A$2:$A$241,0))/INDEX('原始运行'!$H$2:$H$241,MATCH(D101,'原始运行'!$A$2:$A$241,0))</x:f>
        <x:v>8249.6171875</x:v>
      </x:c>
      <x:c r="G101" s="9" t="n">
        <x:f>1-F101/E101</x:f>
        <x:v>0.11781331194599698</x:v>
      </x:c>
      <x:c r="H101" s="10" t="n">
        <x:f>G101^2</x:f>
        <x:v>0.013879976471684794</x:v>
      </x:c>
    </x:row>
    <x:row r="102" ht="22" customHeight="1">
      <x:c r="A102" s="2" t="str">
        <x:v>rho / hot90 / r0 vs ring</x:v>
      </x:c>
      <x:c r="B102" s="2" t="n">
        <x:v>102</x:v>
      </x:c>
      <x:c r="C102" s="2" t="str">
        <x:v>C2_rho_ring_hot90_N4096_B64_seed102</x:v>
      </x:c>
      <x:c r="D102" s="2" t="str">
        <x:v>C2_rho_r0_hot90_N4096_B64_seed102</x:v>
      </x:c>
      <x:c r="E102" s="8" t="n">
        <x:f>INDEX('原始运行'!$I$2:$I$241,MATCH(C102,'原始运行'!$A$2:$A$241,0))/INDEX('原始运行'!$H$2:$H$241,MATCH(C102,'原始运行'!$A$2:$A$241,0))</x:f>
        <x:v>9388.41015625</x:v>
      </x:c>
      <x:c r="F102" s="8" t="n">
        <x:f>INDEX('原始运行'!$I$2:$I$241,MATCH(D102,'原始运行'!$A$2:$A$241,0))/INDEX('原始运行'!$H$2:$H$241,MATCH(D102,'原始运行'!$A$2:$A$241,0))</x:f>
        <x:v>8298.671875</x:v>
      </x:c>
      <x:c r="G102" s="9" t="n">
        <x:f>1-F102/E102</x:f>
        <x:v>0.11607271765012794</x:v>
      </x:c>
      <x:c r="H102" s="10" t="n">
        <x:f>G102^2</x:f>
        <x:v>0.013472875782686322</x:v>
      </x:c>
    </x:row>
    <x:row r="103" ht="22" customHeight="1">
      <x:c r="A103" s="2" t="str">
        <x:v>rho / hot90 / r0 vs ring</x:v>
      </x:c>
      <x:c r="B103" s="2" t="n">
        <x:v>103</x:v>
      </x:c>
      <x:c r="C103" s="2" t="str">
        <x:v>C2_rho_ring_hot90_N4096_B64_seed103</x:v>
      </x:c>
      <x:c r="D103" s="2" t="str">
        <x:v>C2_rho_r0_hot90_N4096_B64_seed103</x:v>
      </x:c>
      <x:c r="E103" s="8" t="n">
        <x:f>INDEX('原始运行'!$I$2:$I$241,MATCH(C103,'原始运行'!$A$2:$A$241,0))/INDEX('原始运行'!$H$2:$H$241,MATCH(C103,'原始运行'!$A$2:$A$241,0))</x:f>
        <x:v>9360.39453125</x:v>
      </x:c>
      <x:c r="F103" s="8" t="n">
        <x:f>INDEX('原始运行'!$I$2:$I$241,MATCH(D103,'原始运行'!$A$2:$A$241,0))/INDEX('原始运行'!$H$2:$H$241,MATCH(D103,'原始运行'!$A$2:$A$241,0))</x:f>
        <x:v>8272.55078125</x:v>
      </x:c>
      <x:c r="G103" s="9" t="n">
        <x:f>1-F103/E103</x:f>
        <x:v>0.11621772419615395</x:v>
      </x:c>
      <x:c r="H103" s="10" t="n">
        <x:f>G103^2</x:f>
        <x:v>0.013506559417333306</x:v>
      </x:c>
    </x:row>
    <x:row r="104" ht="22" customHeight="1">
      <x:c r="A104" s="2" t="str">
        <x:v>rho / hot90 / r0 vs ring</x:v>
      </x:c>
      <x:c r="B104" s="2" t="n">
        <x:v>104</x:v>
      </x:c>
      <x:c r="C104" s="2" t="str">
        <x:v>C2_rho_ring_hot90_N4096_B64_seed104</x:v>
      </x:c>
      <x:c r="D104" s="2" t="str">
        <x:v>C2_rho_r0_hot90_N4096_B64_seed104</x:v>
      </x:c>
      <x:c r="E104" s="8" t="n">
        <x:f>INDEX('原始运行'!$I$2:$I$241,MATCH(C104,'原始运行'!$A$2:$A$241,0))/INDEX('原始运行'!$H$2:$H$241,MATCH(C104,'原始运行'!$A$2:$A$241,0))</x:f>
        <x:v>9473.640625</x:v>
      </x:c>
      <x:c r="F104" s="8" t="n">
        <x:f>INDEX('原始运行'!$I$2:$I$241,MATCH(D104,'原始运行'!$A$2:$A$241,0))/INDEX('原始运行'!$H$2:$H$241,MATCH(D104,'原始运行'!$A$2:$A$241,0))</x:f>
        <x:v>8370.3515625</x:v>
      </x:c>
      <x:c r="G104" s="9" t="n">
        <x:f>1-F104/E104</x:f>
        <x:v>0.11645882572202804</x:v>
      </x:c>
      <x:c r="H104" s="10" t="n">
        <x:f>G104^2</x:f>
        <x:v>0.013562658088553699</x:v>
      </x:c>
    </x:row>
    <x:row r="105" ht="22" customHeight="1">
      <x:c r="A105" s="2" t="str">
        <x:v>rho / hot90 / r0 vs ring</x:v>
      </x:c>
      <x:c r="B105" s="2" t="n">
        <x:v>105</x:v>
      </x:c>
      <x:c r="C105" s="2" t="str">
        <x:v>C2_rho_ring_hot90_N4096_B64_seed105</x:v>
      </x:c>
      <x:c r="D105" s="2" t="str">
        <x:v>C2_rho_r0_hot90_N4096_B64_seed105</x:v>
      </x:c>
      <x:c r="E105" s="8" t="n">
        <x:f>INDEX('原始运行'!$I$2:$I$241,MATCH(C105,'原始运行'!$A$2:$A$241,0))/INDEX('原始运行'!$H$2:$H$241,MATCH(C105,'原始运行'!$A$2:$A$241,0))</x:f>
        <x:v>9475.27734375</x:v>
      </x:c>
      <x:c r="F105" s="8" t="n">
        <x:f>INDEX('原始运行'!$I$2:$I$241,MATCH(D105,'原始运行'!$A$2:$A$241,0))/INDEX('原始运行'!$H$2:$H$241,MATCH(D105,'原始运行'!$A$2:$A$241,0))</x:f>
        <x:v>8374.76953125</x:v>
      </x:c>
      <x:c r="G105" s="9" t="n">
        <x:f>1-F105/E105</x:f>
        <x:v>0.11614518209600555</x:v>
      </x:c>
      <x:c r="H105" s="10" t="n">
        <x:f>G105^2</x:f>
        <x:v>0.013489703324114288</x:v>
      </x:c>
    </x:row>
    <x:row r="106" ht="22" customHeight="1">
      <x:c r="A106" s="2" t="str">
        <x:v>rho / zipf09 / sde vs deferred</x:v>
      </x:c>
      <x:c r="B106" s="2" t="n">
        <x:v>101</x:v>
      </x:c>
      <x:c r="C106" s="2" t="str">
        <x:v>C2_rho_deferred_zipf09_N4096_B64_seed101</x:v>
      </x:c>
      <x:c r="D106" s="2" t="str">
        <x:v>C2_rho_sde_zipf09_N4096_B64_seed101</x:v>
      </x:c>
      <x:c r="E106" s="8" t="n">
        <x:f>INDEX('原始运行'!$I$2:$I$241,MATCH(C106,'原始运行'!$A$2:$A$241,0))/INDEX('原始运行'!$H$2:$H$241,MATCH(C106,'原始运行'!$A$2:$A$241,0))</x:f>
        <x:v>29096.03515625</x:v>
      </x:c>
      <x:c r="F106" s="8" t="n">
        <x:f>INDEX('原始运行'!$I$2:$I$241,MATCH(D106,'原始运行'!$A$2:$A$241,0))/INDEX('原始运行'!$H$2:$H$241,MATCH(D106,'原始运行'!$A$2:$A$241,0))</x:f>
        <x:v>26675.29296875</x:v>
      </x:c>
      <x:c r="G106" s="9" t="n">
        <x:f>1-F106/E106</x:f>
        <x:v>0.08319835243875184</x:v>
      </x:c>
      <x:c r="H106" s="10" t="n">
        <x:f>G106^2</x:f>
        <x:v>0.006921965848522765</x:v>
      </x:c>
    </x:row>
    <x:row r="107" ht="22" customHeight="1">
      <x:c r="A107" s="2" t="str">
        <x:v>rho / zipf09 / sde vs deferred</x:v>
      </x:c>
      <x:c r="B107" s="2" t="n">
        <x:v>102</x:v>
      </x:c>
      <x:c r="C107" s="2" t="str">
        <x:v>C2_rho_deferred_zipf09_N4096_B64_seed102</x:v>
      </x:c>
      <x:c r="D107" s="2" t="str">
        <x:v>C2_rho_sde_zipf09_N4096_B64_seed102</x:v>
      </x:c>
      <x:c r="E107" s="8" t="n">
        <x:f>INDEX('原始运行'!$I$2:$I$241,MATCH(C107,'原始运行'!$A$2:$A$241,0))/INDEX('原始运行'!$H$2:$H$241,MATCH(C107,'原始运行'!$A$2:$A$241,0))</x:f>
        <x:v>28309.4921875</x:v>
      </x:c>
      <x:c r="F107" s="8" t="n">
        <x:f>INDEX('原始运行'!$I$2:$I$241,MATCH(D107,'原始运行'!$A$2:$A$241,0))/INDEX('原始运行'!$H$2:$H$241,MATCH(D107,'原始运行'!$A$2:$A$241,0))</x:f>
        <x:v>25962.509765625</x:v>
      </x:c>
      <x:c r="G107" s="9" t="n">
        <x:f>1-F107/E107</x:f>
        <x:v>0.08290443383196067</x:v>
      </x:c>
      <x:c r="H107" s="10" t="n">
        <x:f>G107^2</x:f>
        <x:v>0.006873145148997944</x:v>
      </x:c>
    </x:row>
    <x:row r="108" ht="22" customHeight="1">
      <x:c r="A108" s="2" t="str">
        <x:v>rho / zipf09 / sde vs deferred</x:v>
      </x:c>
      <x:c r="B108" s="2" t="n">
        <x:v>103</x:v>
      </x:c>
      <x:c r="C108" s="2" t="str">
        <x:v>C2_rho_deferred_zipf09_N4096_B64_seed103</x:v>
      </x:c>
      <x:c r="D108" s="2" t="str">
        <x:v>C2_rho_sde_zipf09_N4096_B64_seed103</x:v>
      </x:c>
      <x:c r="E108" s="8" t="n">
        <x:f>INDEX('原始运行'!$I$2:$I$241,MATCH(C108,'原始运行'!$A$2:$A$241,0))/INDEX('原始运行'!$H$2:$H$241,MATCH(C108,'原始运行'!$A$2:$A$241,0))</x:f>
        <x:v>29149.66796875</x:v>
      </x:c>
      <x:c r="F108" s="8" t="n">
        <x:f>INDEX('原始运行'!$I$2:$I$241,MATCH(D108,'原始运行'!$A$2:$A$241,0))/INDEX('原始运行'!$H$2:$H$241,MATCH(D108,'原始运行'!$A$2:$A$241,0))</x:f>
        <x:v>26732.48046875</x:v>
      </x:c>
      <x:c r="G108" s="9" t="n">
        <x:f>1-F108/E108</x:f>
        <x:v>0.0829233287525386</x:v>
      </x:c>
      <x:c r="H108" s="10" t="n">
        <x:f>G108^2</x:f>
        <x:v>0.006876278451401595</x:v>
      </x:c>
    </x:row>
    <x:row r="109" ht="22" customHeight="1">
      <x:c r="A109" s="2" t="str">
        <x:v>rho / zipf09 / sde vs deferred</x:v>
      </x:c>
      <x:c r="B109" s="2" t="n">
        <x:v>104</x:v>
      </x:c>
      <x:c r="C109" s="2" t="str">
        <x:v>C2_rho_deferred_zipf09_N4096_B64_seed104</x:v>
      </x:c>
      <x:c r="D109" s="2" t="str">
        <x:v>C2_rho_sde_zipf09_N4096_B64_seed104</x:v>
      </x:c>
      <x:c r="E109" s="8" t="n">
        <x:f>INDEX('原始运行'!$I$2:$I$241,MATCH(C109,'原始运行'!$A$2:$A$241,0))/INDEX('原始运行'!$H$2:$H$241,MATCH(C109,'原始运行'!$A$2:$A$241,0))</x:f>
        <x:v>29602.51953125</x:v>
      </x:c>
      <x:c r="F109" s="8" t="n">
        <x:f>INDEX('原始运行'!$I$2:$I$241,MATCH(D109,'原始运行'!$A$2:$A$241,0))/INDEX('原始运行'!$H$2:$H$241,MATCH(D109,'原始运行'!$A$2:$A$241,0))</x:f>
        <x:v>27128.279296875</x:v>
      </x:c>
      <x:c r="G109" s="9" t="n">
        <x:f>1-F109/E109</x:f>
        <x:v>0.0835820826589797</x:v>
      </x:c>
      <x:c r="H109" s="10" t="n">
        <x:f>G109^2</x:f>
        <x:v>0.006985964541612516</x:v>
      </x:c>
    </x:row>
    <x:row r="110" ht="22" customHeight="1">
      <x:c r="A110" s="2" t="str">
        <x:v>rho / zipf09 / sde vs deferred</x:v>
      </x:c>
      <x:c r="B110" s="2" t="n">
        <x:v>105</x:v>
      </x:c>
      <x:c r="C110" s="2" t="str">
        <x:v>C2_rho_deferred_zipf09_N4096_B64_seed105</x:v>
      </x:c>
      <x:c r="D110" s="2" t="str">
        <x:v>C2_rho_sde_zipf09_N4096_B64_seed105</x:v>
      </x:c>
      <x:c r="E110" s="8" t="n">
        <x:f>INDEX('原始运行'!$I$2:$I$241,MATCH(C110,'原始运行'!$A$2:$A$241,0))/INDEX('原始运行'!$H$2:$H$241,MATCH(C110,'原始运行'!$A$2:$A$241,0))</x:f>
        <x:v>28184.36328125</x:v>
      </x:c>
      <x:c r="F110" s="8" t="n">
        <x:f>INDEX('原始运行'!$I$2:$I$241,MATCH(D110,'原始运行'!$A$2:$A$241,0))/INDEX('原始运行'!$H$2:$H$241,MATCH(D110,'原始运行'!$A$2:$A$241,0))</x:f>
        <x:v>25867.7734375</x:v>
      </x:c>
      <x:c r="G110" s="9" t="n">
        <x:f>1-F110/E110</x:f>
        <x:v>0.08219415214858306</x:v>
      </x:c>
      <x:c r="H110" s="10" t="n">
        <x:f>G110^2</x:f>
        <x:v>0.00675587864742442</x:v>
      </x:c>
    </x:row>
    <x:row r="111" ht="22" customHeight="1">
      <x:c r="A111" s="2" t="str">
        <x:v>rho / zipf09 / r0 vs ring</x:v>
      </x:c>
      <x:c r="B111" s="2" t="n">
        <x:v>101</x:v>
      </x:c>
      <x:c r="C111" s="2" t="str">
        <x:v>C2_rho_ring_zipf09_N4096_B64_seed101</x:v>
      </x:c>
      <x:c r="D111" s="2" t="str">
        <x:v>C2_rho_r0_zipf09_N4096_B64_seed101</x:v>
      </x:c>
      <x:c r="E111" s="8" t="n">
        <x:f>INDEX('原始运行'!$I$2:$I$241,MATCH(C111,'原始运行'!$A$2:$A$241,0))/INDEX('原始运行'!$H$2:$H$241,MATCH(C111,'原始运行'!$A$2:$A$241,0))</x:f>
        <x:v>34394.12890625</x:v>
      </x:c>
      <x:c r="F111" s="8" t="n">
        <x:f>INDEX('原始运行'!$I$2:$I$241,MATCH(D111,'原始运行'!$A$2:$A$241,0))/INDEX('原始运行'!$H$2:$H$241,MATCH(D111,'原始运行'!$A$2:$A$241,0))</x:f>
        <x:v>30385.22265625</x:v>
      </x:c>
      <x:c r="G111" s="9" t="n">
        <x:f>1-F111/E111</x:f>
        <x:v>0.11655786546963587</x:v>
      </x:c>
      <x:c r="H111" s="10" t="n">
        <x:f>G111^2</x:f>
        <x:v>0.013585736002837733</x:v>
      </x:c>
    </x:row>
    <x:row r="112" ht="22" customHeight="1">
      <x:c r="A112" s="2" t="str">
        <x:v>rho / zipf09 / r0 vs ring</x:v>
      </x:c>
      <x:c r="B112" s="2" t="n">
        <x:v>102</x:v>
      </x:c>
      <x:c r="C112" s="2" t="str">
        <x:v>C2_rho_ring_zipf09_N4096_B64_seed102</x:v>
      </x:c>
      <x:c r="D112" s="2" t="str">
        <x:v>C2_rho_r0_zipf09_N4096_B64_seed102</x:v>
      </x:c>
      <x:c r="E112" s="8" t="n">
        <x:f>INDEX('原始运行'!$I$2:$I$241,MATCH(C112,'原始运行'!$A$2:$A$241,0))/INDEX('原始运行'!$H$2:$H$241,MATCH(C112,'原始运行'!$A$2:$A$241,0))</x:f>
        <x:v>33489.921875</x:v>
      </x:c>
      <x:c r="F112" s="8" t="n">
        <x:f>INDEX('原始运行'!$I$2:$I$241,MATCH(D112,'原始运行'!$A$2:$A$241,0))/INDEX('原始运行'!$H$2:$H$241,MATCH(D112,'原始运行'!$A$2:$A$241,0))</x:f>
        <x:v>29584.5546875</x:v>
      </x:c>
      <x:c r="G112" s="9" t="n">
        <x:f>1-F112/E112</x:f>
        <x:v>0.11661320686493837</x:v>
      </x:c>
      <x:c r="H112" s="10" t="n">
        <x:f>G112^2</x:f>
        <x:v>0.013598640015324908</x:v>
      </x:c>
    </x:row>
    <x:row r="113" ht="22" customHeight="1">
      <x:c r="A113" s="2" t="str">
        <x:v>rho / zipf09 / r0 vs ring</x:v>
      </x:c>
      <x:c r="B113" s="2" t="n">
        <x:v>103</x:v>
      </x:c>
      <x:c r="C113" s="2" t="str">
        <x:v>C2_rho_ring_zipf09_N4096_B64_seed103</x:v>
      </x:c>
      <x:c r="D113" s="2" t="str">
        <x:v>C2_rho_r0_zipf09_N4096_B64_seed103</x:v>
      </x:c>
      <x:c r="E113" s="8" t="n">
        <x:f>INDEX('原始运行'!$I$2:$I$241,MATCH(C113,'原始运行'!$A$2:$A$241,0))/INDEX('原始运行'!$H$2:$H$241,MATCH(C113,'原始运行'!$A$2:$A$241,0))</x:f>
        <x:v>34461.26171875</x:v>
      </x:c>
      <x:c r="F113" s="8" t="n">
        <x:f>INDEX('原始运行'!$I$2:$I$241,MATCH(D113,'原始运行'!$A$2:$A$241,0))/INDEX('原始运行'!$H$2:$H$241,MATCH(D113,'原始运行'!$A$2:$A$241,0))</x:f>
        <x:v>30455.109375</x:v>
      </x:c>
      <x:c r="G113" s="9" t="n">
        <x:f>1-F113/E113</x:f>
        <x:v>0.11625088995422062</x:v>
      </x:c>
      <x:c r="H113" s="10" t="n">
        <x:f>G113^2</x:f>
        <x:v>0.013514269415148312</x:v>
      </x:c>
    </x:row>
    <x:row r="114" ht="22" customHeight="1">
      <x:c r="A114" s="2" t="str">
        <x:v>rho / zipf09 / r0 vs ring</x:v>
      </x:c>
      <x:c r="B114" s="2" t="n">
        <x:v>104</x:v>
      </x:c>
      <x:c r="C114" s="2" t="str">
        <x:v>C2_rho_ring_zipf09_N4096_B64_seed104</x:v>
      </x:c>
      <x:c r="D114" s="2" t="str">
        <x:v>C2_rho_r0_zipf09_N4096_B64_seed104</x:v>
      </x:c>
      <x:c r="E114" s="8" t="n">
        <x:f>INDEX('原始运行'!$I$2:$I$241,MATCH(C114,'原始运行'!$A$2:$A$241,0))/INDEX('原始运行'!$H$2:$H$241,MATCH(C114,'原始运行'!$A$2:$A$241,0))</x:f>
        <x:v>34979.32421875</x:v>
      </x:c>
      <x:c r="F114" s="8" t="n">
        <x:f>INDEX('原始运行'!$I$2:$I$241,MATCH(D114,'原始运行'!$A$2:$A$241,0))/INDEX('原始运行'!$H$2:$H$241,MATCH(D114,'原始运行'!$A$2:$A$241,0))</x:f>
        <x:v>30903.09375</x:v>
      </x:c>
      <x:c r="G114" s="9" t="n">
        <x:f>1-F114/E114</x:f>
        <x:v>0.11653256773225518</x:v>
      </x:c>
      <x:c r="H114" s="10" t="n">
        <x:f>G114^2</x:f>
        <x:v>0.01357983934227264</x:v>
      </x:c>
    </x:row>
    <x:row r="115" ht="22" customHeight="1">
      <x:c r="A115" s="2" t="str">
        <x:v>rho / zipf09 / r0 vs ring</x:v>
      </x:c>
      <x:c r="B115" s="2" t="n">
        <x:v>105</x:v>
      </x:c>
      <x:c r="C115" s="2" t="str">
        <x:v>C2_rho_ring_zipf09_N4096_B64_seed105</x:v>
      </x:c>
      <x:c r="D115" s="2" t="str">
        <x:v>C2_rho_r0_zipf09_N4096_B64_seed105</x:v>
      </x:c>
      <x:c r="E115" s="8" t="n">
        <x:f>INDEX('原始运行'!$I$2:$I$241,MATCH(C115,'原始运行'!$A$2:$A$241,0))/INDEX('原始运行'!$H$2:$H$241,MATCH(C115,'原始运行'!$A$2:$A$241,0))</x:f>
        <x:v>33329.62890625</x:v>
      </x:c>
      <x:c r="F115" s="8" t="n">
        <x:f>INDEX('原始运行'!$I$2:$I$241,MATCH(D115,'原始运行'!$A$2:$A$241,0))/INDEX('原始运行'!$H$2:$H$241,MATCH(D115,'原始运行'!$A$2:$A$241,0))</x:f>
        <x:v>29465.1015625</x:v>
      </x:c>
      <x:c r="G115" s="9" t="n">
        <x:f>1-F115/E115</x:f>
        <x:v>0.11594870601830554</x:v>
      </x:c>
      <x:c r="H115" s="10" t="n">
        <x:f>G115^2</x:f>
        <x:v>0.013444102427319443</x:v>
      </x:c>
    </x:row>
    <x:row r="116" ht="22" customHeight="1">
      <x:c r="A116" s="2" t="str">
        <x:v>rho / scan / sde vs deferred</x:v>
      </x:c>
      <x:c r="B116" s="2" t="n">
        <x:v>101</x:v>
      </x:c>
      <x:c r="C116" s="2" t="str">
        <x:v>C2_rho_deferred_scan_N4096_B64_seed101</x:v>
      </x:c>
      <x:c r="D116" s="2" t="str">
        <x:v>C2_rho_sde_scan_N4096_B64_seed101</x:v>
      </x:c>
      <x:c r="E116" s="8" t="n">
        <x:f>INDEX('原始运行'!$I$2:$I$241,MATCH(C116,'原始运行'!$A$2:$A$241,0))/INDEX('原始运行'!$H$2:$H$241,MATCH(C116,'原始运行'!$A$2:$A$241,0))</x:f>
        <x:v>46100.01171875</x:v>
      </x:c>
      <x:c r="F116" s="8" t="n">
        <x:f>INDEX('原始运行'!$I$2:$I$241,MATCH(D116,'原始运行'!$A$2:$A$241,0))/INDEX('原始运行'!$H$2:$H$241,MATCH(D116,'原始运行'!$A$2:$A$241,0))</x:f>
        <x:v>42266.458984375</x:v>
      </x:c>
      <x:c r="G116" s="9" t="n">
        <x:f>1-F116/E116</x:f>
        <x:v>0.08315730498644969</x:v>
      </x:c>
      <x:c r="H116" s="10" t="n">
        <x:f>G116^2</x:f>
        <x:v>0.00691513737260941</x:v>
      </x:c>
    </x:row>
    <x:row r="117" ht="22" customHeight="1">
      <x:c r="A117" s="2" t="str">
        <x:v>rho / scan / sde vs deferred</x:v>
      </x:c>
      <x:c r="B117" s="2" t="n">
        <x:v>102</x:v>
      </x:c>
      <x:c r="C117" s="2" t="str">
        <x:v>C2_rho_deferred_scan_N4096_B64_seed102</x:v>
      </x:c>
      <x:c r="D117" s="2" t="str">
        <x:v>C2_rho_sde_scan_N4096_B64_seed102</x:v>
      </x:c>
      <x:c r="E117" s="8" t="n">
        <x:f>INDEX('原始运行'!$I$2:$I$241,MATCH(C117,'原始运行'!$A$2:$A$241,0))/INDEX('原始运行'!$H$2:$H$241,MATCH(C117,'原始运行'!$A$2:$A$241,0))</x:f>
        <x:v>46100.01171875</x:v>
      </x:c>
      <x:c r="F117" s="8" t="n">
        <x:f>INDEX('原始运行'!$I$2:$I$241,MATCH(D117,'原始运行'!$A$2:$A$241,0))/INDEX('原始运行'!$H$2:$H$241,MATCH(D117,'原始运行'!$A$2:$A$241,0))</x:f>
        <x:v>42263.79296875</x:v>
      </x:c>
      <x:c r="G117" s="9" t="n">
        <x:f>1-F117/E117</x:f>
        <x:v>0.08321513611328901</x:v>
      </x:c>
      <x:c r="H117" s="10" t="n">
        <x:f>G117^2</x:f>
        <x:v>0.006924758878353217</x:v>
      </x:c>
    </x:row>
    <x:row r="118" ht="22" customHeight="1">
      <x:c r="A118" s="2" t="str">
        <x:v>rho / scan / sde vs deferred</x:v>
      </x:c>
      <x:c r="B118" s="2" t="n">
        <x:v>103</x:v>
      </x:c>
      <x:c r="C118" s="2" t="str">
        <x:v>C2_rho_deferred_scan_N4096_B64_seed103</x:v>
      </x:c>
      <x:c r="D118" s="2" t="str">
        <x:v>C2_rho_sde_scan_N4096_B64_seed103</x:v>
      </x:c>
      <x:c r="E118" s="8" t="n">
        <x:f>INDEX('原始运行'!$I$2:$I$241,MATCH(C118,'原始运行'!$A$2:$A$241,0))/INDEX('原始运行'!$H$2:$H$241,MATCH(C118,'原始运行'!$A$2:$A$241,0))</x:f>
        <x:v>46100.01171875</x:v>
      </x:c>
      <x:c r="F118" s="8" t="n">
        <x:f>INDEX('原始运行'!$I$2:$I$241,MATCH(D118,'原始运行'!$A$2:$A$241,0))/INDEX('原始运行'!$H$2:$H$241,MATCH(D118,'原始运行'!$A$2:$A$241,0))</x:f>
        <x:v>42286.1875</x:v>
      </x:c>
      <x:c r="G118" s="9" t="n">
        <x:f>1-F118/E118</x:f>
        <x:v>0.08272935464783893</x:v>
      </x:c>
      <x:c r="H118" s="10" t="n">
        <x:f>G118^2</x:f>
        <x:v>0.006844146120447908</x:v>
      </x:c>
    </x:row>
    <x:row r="119" ht="22" customHeight="1">
      <x:c r="A119" s="2" t="str">
        <x:v>rho / scan / sde vs deferred</x:v>
      </x:c>
      <x:c r="B119" s="2" t="n">
        <x:v>104</x:v>
      </x:c>
      <x:c r="C119" s="2" t="str">
        <x:v>C2_rho_deferred_scan_N4096_B64_seed104</x:v>
      </x:c>
      <x:c r="D119" s="2" t="str">
        <x:v>C2_rho_sde_scan_N4096_B64_seed104</x:v>
      </x:c>
      <x:c r="E119" s="8" t="n">
        <x:f>INDEX('原始运行'!$I$2:$I$241,MATCH(C119,'原始运行'!$A$2:$A$241,0))/INDEX('原始运行'!$H$2:$H$241,MATCH(C119,'原始运行'!$A$2:$A$241,0))</x:f>
        <x:v>46100.01171875</x:v>
      </x:c>
      <x:c r="F119" s="8" t="n">
        <x:f>INDEX('原始运行'!$I$2:$I$241,MATCH(D119,'原始运行'!$A$2:$A$241,0))/INDEX('原始运行'!$H$2:$H$241,MATCH(D119,'原始运行'!$A$2:$A$241,0))</x:f>
        <x:v>42279.43359375</x:v>
      </x:c>
      <x:c r="G119" s="9" t="n">
        <x:f>1-F119/E119</x:f>
        <x:v>0.08287586016916515</x:v>
      </x:c>
      <x:c r="H119" s="10" t="n">
        <x:f>G119^2</x:f>
        <x:v>0.006868408198779014</x:v>
      </x:c>
    </x:row>
    <x:row r="120" ht="22" customHeight="1">
      <x:c r="A120" s="2" t="str">
        <x:v>rho / scan / sde vs deferred</x:v>
      </x:c>
      <x:c r="B120" s="2" t="n">
        <x:v>105</x:v>
      </x:c>
      <x:c r="C120" s="2" t="str">
        <x:v>C2_rho_deferred_scan_N4096_B64_seed105</x:v>
      </x:c>
      <x:c r="D120" s="2" t="str">
        <x:v>C2_rho_sde_scan_N4096_B64_seed105</x:v>
      </x:c>
      <x:c r="E120" s="8" t="n">
        <x:f>INDEX('原始运行'!$I$2:$I$241,MATCH(C120,'原始运行'!$A$2:$A$241,0))/INDEX('原始运行'!$H$2:$H$241,MATCH(C120,'原始运行'!$A$2:$A$241,0))</x:f>
        <x:v>46100.01171875</x:v>
      </x:c>
      <x:c r="F120" s="8" t="n">
        <x:f>INDEX('原始运行'!$I$2:$I$241,MATCH(D120,'原始运行'!$A$2:$A$241,0))/INDEX('原始运行'!$H$2:$H$241,MATCH(D120,'原始运行'!$A$2:$A$241,0))</x:f>
        <x:v>42276.58984375</x:v>
      </x:c>
      <x:c r="G120" s="9" t="n">
        <x:f>1-F120/E120</x:f>
        <x:v>0.08293754670446041</x:v>
      </x:c>
      <x:c r="H120" s="10" t="n">
        <x:f>G120^2</x:f>
        <x:v>0.0068786366533545515</x:v>
      </x:c>
    </x:row>
    <x:row r="121" ht="22" customHeight="1">
      <x:c r="A121" s="2" t="str">
        <x:v>rho / scan / r0 vs ring</x:v>
      </x:c>
      <x:c r="B121" s="2" t="n">
        <x:v>101</x:v>
      </x:c>
      <x:c r="C121" s="2" t="str">
        <x:v>C2_rho_ring_scan_N4096_B64_seed101</x:v>
      </x:c>
      <x:c r="D121" s="2" t="str">
        <x:v>C2_rho_r0_scan_N4096_B64_seed101</x:v>
      </x:c>
      <x:c r="E121" s="8" t="n">
        <x:f>INDEX('原始运行'!$I$2:$I$241,MATCH(C121,'原始运行'!$A$2:$A$241,0))/INDEX('原始运行'!$H$2:$H$241,MATCH(C121,'原始运行'!$A$2:$A$241,0))</x:f>
        <x:v>54509.0703125</x:v>
      </x:c>
      <x:c r="F121" s="8" t="n">
        <x:f>INDEX('原始运行'!$I$2:$I$241,MATCH(D121,'原始运行'!$A$2:$A$241,0))/INDEX('原始运行'!$H$2:$H$241,MATCH(D121,'原始运行'!$A$2:$A$241,0))</x:f>
        <x:v>48152.93359375</x:v>
      </x:c>
      <x:c r="G121" s="9" t="n">
        <x:f>1-F121/E121</x:f>
        <x:v>0.11660695517847441</x:v>
      </x:c>
      <x:c r="H121" s="10" t="n">
        <x:f>G121^2</x:f>
        <x:v>0.013597181995994741</x:v>
      </x:c>
    </x:row>
    <x:row r="122" ht="22" customHeight="1">
      <x:c r="A122" s="2" t="str">
        <x:v>rho / scan / r0 vs ring</x:v>
      </x:c>
      <x:c r="B122" s="2" t="n">
        <x:v>102</x:v>
      </x:c>
      <x:c r="C122" s="2" t="str">
        <x:v>C2_rho_ring_scan_N4096_B64_seed102</x:v>
      </x:c>
      <x:c r="D122" s="2" t="str">
        <x:v>C2_rho_r0_scan_N4096_B64_seed102</x:v>
      </x:c>
      <x:c r="E122" s="8" t="n">
        <x:f>INDEX('原始运行'!$I$2:$I$241,MATCH(C122,'原始运行'!$A$2:$A$241,0))/INDEX('原始运行'!$H$2:$H$241,MATCH(C122,'原始运行'!$A$2:$A$241,0))</x:f>
        <x:v>54562.30859375</x:v>
      </x:c>
      <x:c r="F122" s="8" t="n">
        <x:f>INDEX('原始运行'!$I$2:$I$241,MATCH(D122,'原始运行'!$A$2:$A$241,0))/INDEX('原始运行'!$H$2:$H$241,MATCH(D122,'原始运行'!$A$2:$A$241,0))</x:f>
        <x:v>48185.046875</x:v>
      </x:c>
      <x:c r="G122" s="9" t="n">
        <x:f>1-F122/E122</x:f>
        <x:v>0.11688034988095253</x:v>
      </x:c>
      <x:c r="H122" s="10" t="n">
        <x:f>G122^2</x:f>
        <x:v>0.01366101618829388</x:v>
      </x:c>
    </x:row>
    <x:row r="123" ht="22" customHeight="1">
      <x:c r="A123" s="2" t="str">
        <x:v>rho / scan / r0 vs ring</x:v>
      </x:c>
      <x:c r="B123" s="2" t="n">
        <x:v>103</x:v>
      </x:c>
      <x:c r="C123" s="2" t="str">
        <x:v>C2_rho_ring_scan_N4096_B64_seed103</x:v>
      </x:c>
      <x:c r="D123" s="2" t="str">
        <x:v>C2_rho_r0_scan_N4096_B64_seed103</x:v>
      </x:c>
      <x:c r="E123" s="8" t="n">
        <x:f>INDEX('原始运行'!$I$2:$I$241,MATCH(C123,'原始运行'!$A$2:$A$241,0))/INDEX('原始运行'!$H$2:$H$241,MATCH(C123,'原始运行'!$A$2:$A$241,0))</x:f>
        <x:v>54520.46484375</x:v>
      </x:c>
      <x:c r="F123" s="8" t="n">
        <x:f>INDEX('原始运行'!$I$2:$I$241,MATCH(D123,'原始运行'!$A$2:$A$241,0))/INDEX('原始运行'!$H$2:$H$241,MATCH(D123,'原始运行'!$A$2:$A$241,0))</x:f>
        <x:v>48192.140625</x:v>
      </x:c>
      <x:c r="G123" s="9" t="n">
        <x:f>1-F123/E123</x:f>
        <x:v>0.11607245530437649</x:v>
      </x:c>
      <x:c r="H123" s="10" t="n">
        <x:f>G123^2</x:f>
        <x:v>0.013472814880386477</x:v>
      </x:c>
    </x:row>
    <x:row r="124" ht="22" customHeight="1">
      <x:c r="A124" s="2" t="str">
        <x:v>rho / scan / r0 vs ring</x:v>
      </x:c>
      <x:c r="B124" s="2" t="n">
        <x:v>104</x:v>
      </x:c>
      <x:c r="C124" s="2" t="str">
        <x:v>C2_rho_ring_scan_N4096_B64_seed104</x:v>
      </x:c>
      <x:c r="D124" s="2" t="str">
        <x:v>C2_rho_r0_scan_N4096_B64_seed104</x:v>
      </x:c>
      <x:c r="E124" s="8" t="n">
        <x:f>INDEX('原始运行'!$I$2:$I$241,MATCH(C124,'原始运行'!$A$2:$A$241,0))/INDEX('原始运行'!$H$2:$H$241,MATCH(C124,'原始运行'!$A$2:$A$241,0))</x:f>
        <x:v>54526.76171875</x:v>
      </x:c>
      <x:c r="F124" s="8" t="n">
        <x:f>INDEX('原始运行'!$I$2:$I$241,MATCH(D124,'原始运行'!$A$2:$A$241,0))/INDEX('原始运行'!$H$2:$H$241,MATCH(D124,'原始运行'!$A$2:$A$241,0))</x:f>
        <x:v>48183.171875</x:v>
      </x:c>
      <x:c r="G124" s="9" t="n">
        <x:f>1-F124/E124</x:f>
        <x:v>0.11633901672852587</x:v>
      </x:c>
      <x:c r="H124" s="10" t="n">
        <x:f>G124^2</x:f>
        <x:v>0.013534766813360221</x:v>
      </x:c>
    </x:row>
    <x:row r="125" ht="22" customHeight="1">
      <x:c r="A125" s="2" t="str">
        <x:v>rho / scan / r0 vs ring</x:v>
      </x:c>
      <x:c r="B125" s="2" t="n">
        <x:v>105</x:v>
      </x:c>
      <x:c r="C125" s="2" t="str">
        <x:v>C2_rho_ring_scan_N4096_B64_seed105</x:v>
      </x:c>
      <x:c r="D125" s="2" t="str">
        <x:v>C2_rho_r0_scan_N4096_B64_seed105</x:v>
      </x:c>
      <x:c r="E125" s="8" t="n">
        <x:f>INDEX('原始运行'!$I$2:$I$241,MATCH(C125,'原始运行'!$A$2:$A$241,0))/INDEX('原始运行'!$H$2:$H$241,MATCH(C125,'原始运行'!$A$2:$A$241,0))</x:f>
        <x:v>54497.74609375</x:v>
      </x:c>
      <x:c r="F125" s="8" t="n">
        <x:f>INDEX('原始运行'!$I$2:$I$241,MATCH(D125,'原始运行'!$A$2:$A$241,0))/INDEX('原始运行'!$H$2:$H$241,MATCH(D125,'原始运行'!$A$2:$A$241,0))</x:f>
        <x:v>48159.8671875</x:v>
      </x:c>
      <x:c r="G125" s="9" t="n">
        <x:f>1-F125/E125</x:f>
        <x:v>0.11629616563127643</x:v>
      </x:c>
      <x:c r="H125" s="10" t="n">
        <x:f>G125^2</x:f>
        <x:v>0.01352479814053728</x:v>
      </x:c>
    </x:row>
    <x:row r="126" ht="22" customHeight="1">
      <x:c r="A126" s="2"/>
      <x:c r="B126" s="2"/>
      <x:c r="C126" s="2"/>
      <x:c r="D126" s="2"/>
      <x:c r="E126" s="2"/>
      <x:c r="F126" s="2"/>
      <x:c r="G126" s="2"/>
      <x:c r="H126" s="2"/>
    </x:row>
    <x:row r="127" ht="22" customHeight="1">
      <x:c r="A127" s="2"/>
      <x:c r="B127" s="2"/>
      <x:c r="C127" s="2"/>
      <x:c r="D127" s="2"/>
      <x:c r="E127" s="2"/>
      <x:c r="F127" s="2"/>
      <x:c r="G127" s="2"/>
      <x:c r="H127" s="2"/>
    </x:row>
    <x:row r="128" ht="22" customHeight="1">
      <x:c r="A128" s="2"/>
      <x:c r="B128" s="2"/>
      <x:c r="C128" s="2"/>
      <x:c r="D128" s="2"/>
      <x:c r="E128" s="2"/>
      <x:c r="F128" s="2"/>
      <x:c r="G128" s="2"/>
      <x:c r="H128" s="2"/>
    </x:row>
  </x:sheetData>
  <x:pageMargins left="0.7" right="0.7" top="0.75" bottom="0.75" header="0.3" footer="0.3"/>
  <x:tableParts count="1">
    <x:tablePart xmlns:r="http://schemas.openxmlformats.org/officeDocument/2006/relationships" r:id="Rf58940d259ac4663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65" hidden="0" customWidth="1"/>
    <x:col min="2" max="2" width="21" hidden="0" customWidth="1"/>
    <x:col min="3" max="3" width="15" hidden="0" customWidth="1"/>
    <x:col min="4" max="4" width="15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  <x:col min="17" max="17" width="19" hidden="0" customWidth="1"/>
    <x:col min="18" max="18" width="19" hidden="0" customWidth="1"/>
    <x:col min="19" max="19" width="19" hidden="0" customWidth="1"/>
    <x:col min="21" max="21" width="100" hidden="0" customWidth="1"/>
    <x:col min="22" max="22" width="68" hidden="0" customWidth="1"/>
    <x:col min="20" max="20" width="14" hidden="0" customWidth="1"/>
  </x:cols>
  <x:sheetData>
    <x:row r="1" ht="28" customHeight="1">
      <x:c r="A1" s="6" t="str">
        <x:v>运行ID</x:v>
      </x:c>
      <x:c r="B1" s="6" t="str">
        <x:v>前端</x:v>
      </x:c>
      <x:c r="C1" s="6" t="str">
        <x:v>工作负载</x:v>
      </x:c>
      <x:c r="D1" s="6" t="str">
        <x:v>后端</x:v>
      </x:c>
      <x:c r="E1" s="6" t="str">
        <x:v>种子</x:v>
      </x:c>
      <x:c r="F1" s="6" t="str">
        <x:v>N（块）</x:v>
      </x:c>
      <x:c r="G1" s="6" t="str">
        <x:v>B（字节）</x:v>
      </x:c>
      <x:c r="H1" s="6" t="str">
        <x:v>请求数</x:v>
      </x:c>
      <x:c r="I1" s="6" t="str">
        <x:v>总字节</x:v>
      </x:c>
      <x:c r="J1" s="6" t="str">
        <x:v>下行字节</x:v>
      </x:c>
      <x:c r="K1" s="6" t="str">
        <x:v>上行字节</x:v>
      </x:c>
      <x:c r="L1" s="6" t="str">
        <x:v>RPC</x:v>
      </x:c>
      <x:c r="M1" s="6" t="str">
        <x:v>数据下行字节</x:v>
      </x:c>
      <x:c r="N1" s="6" t="str">
        <x:v>数据上行字节</x:v>
      </x:c>
      <x:c r="O1" s="6" t="str">
        <x:v>头部下行字节</x:v>
      </x:c>
      <x:c r="P1" s="6" t="str">
        <x:v>头部上行字节</x:v>
      </x:c>
      <x:c r="Q1" s="6" t="str">
        <x:v>认证下行字节</x:v>
      </x:c>
      <x:c r="R1" s="6" t="str">
        <x:v>认证上行字节</x:v>
      </x:c>
      <x:c r="S1" s="6" t="str">
        <x:v>帧及控制字节</x:v>
      </x:c>
      <x:c r="T1" s="6" t="str">
        <x:v>参数Z/A/S</x:v>
      </x:c>
      <x:c r="U1" s="6" t="str">
        <x:v>原始证据相对路径</x:v>
      </x:c>
      <x:c r="V1" s="6" t="str">
        <x:v>SHA-256</x:v>
      </x:c>
    </x:row>
    <x:row r="2" ht="22" customHeight="1">
      <x:c r="A2" s="2" t="str">
        <x:v>C_free_compressed_deferred_hot90_N4096_B64_seed101</x:v>
      </x:c>
      <x:c r="B2" s="2" t="str">
        <x:v>free_compressed</x:v>
      </x:c>
      <x:c r="C2" s="2" t="str">
        <x:v>hot90</x:v>
      </x:c>
      <x:c r="D2" s="2" t="str">
        <x:v>deferred</x:v>
      </x:c>
      <x:c r="E2" s="3" t="n">
        <x:v>101</x:v>
      </x:c>
      <x:c r="F2" s="3" t="n">
        <x:v>4096</x:v>
      </x:c>
      <x:c r="G2" s="3" t="n">
        <x:v>64</x:v>
      </x:c>
      <x:c r="H2" s="3" t="n">
        <x:v>4096</x:v>
      </x:c>
      <x:c r="I2" s="3" t="n">
        <x:v>159946960</x:v>
      </x:c>
      <x:c r="J2" s="3" t="n">
        <x:v>93285532</x:v>
      </x:c>
      <x:c r="K2" s="3" t="n">
        <x:v>66661428</x:v>
      </x:c>
      <x:c r="L2" s="3" t="n">
        <x:v>24382</x:v>
      </x:c>
      <x:c r="M2" s="3" t="n">
        <x:v>50714560</x:v>
      </x:c>
      <x:c r="N2" s="3" t="n">
        <x:v>12679680</x:v>
      </x:c>
      <x:c r="O2" s="3" t="n">
        <x:v>32330532</x:v>
      </x:c>
      <x:c r="P2" s="3" t="n">
        <x:v>32330532</x:v>
      </x:c>
      <x:c r="Q2" s="3" t="n">
        <x:v>9362688</x:v>
      </x:c>
      <x:c r="R2" s="3" t="n">
        <x:v>20285824</x:v>
      </x:c>
      <x:c r="S2" s="3" t="n">
        <x:v>2243144</x:v>
      </x:c>
      <x:c r="T2" s="2" t="str">
        <x:v>4/3/4</x:v>
      </x:c>
      <x:c r="U2" s="2" t="str">
        <x:v>results/formal_composition/C_free_compressed_deferred_hot90_N4096_B64_seed101.json</x:v>
      </x:c>
      <x:c r="V2" s="2" t="str">
        <x:v>4c87ab9ffed8b1cc6f48b1716a00a9ad283b2075cbfb310e7ae776c094d1dfca</x:v>
      </x:c>
    </x:row>
    <x:row r="3" ht="22" customHeight="1">
      <x:c r="A3" s="2" t="str">
        <x:v>C_free_compressed_deferred_hot90_N4096_B64_seed102</x:v>
      </x:c>
      <x:c r="B3" s="2" t="str">
        <x:v>free_compressed</x:v>
      </x:c>
      <x:c r="C3" s="2" t="str">
        <x:v>hot90</x:v>
      </x:c>
      <x:c r="D3" s="2" t="str">
        <x:v>deferred</x:v>
      </x:c>
      <x:c r="E3" s="3" t="n">
        <x:v>102</x:v>
      </x:c>
      <x:c r="F3" s="3" t="n">
        <x:v>4096</x:v>
      </x:c>
      <x:c r="G3" s="3" t="n">
        <x:v>64</x:v>
      </x:c>
      <x:c r="H3" s="3" t="n">
        <x:v>4096</x:v>
      </x:c>
      <x:c r="I3" s="3" t="n">
        <x:v>159866160</x:v>
      </x:c>
      <x:c r="J3" s="3" t="n">
        <x:v>93239620</x:v>
      </x:c>
      <x:c r="K3" s="3" t="n">
        <x:v>66626540</x:v>
      </x:c>
      <x:c r="L3" s="3" t="n">
        <x:v>24370</x:v>
      </x:c>
      <x:c r="M3" s="3" t="n">
        <x:v>50689600</x:v>
      </x:c>
      <x:c r="N3" s="3" t="n">
        <x:v>12671360</x:v>
      </x:c>
      <x:c r="O3" s="3" t="n">
        <x:v>32314620</x:v>
      </x:c>
      <x:c r="P3" s="3" t="n">
        <x:v>32314620</x:v>
      </x:c>
      <x:c r="Q3" s="3" t="n">
        <x:v>9358080</x:v>
      </x:c>
      <x:c r="R3" s="3" t="n">
        <x:v>20275840</x:v>
      </x:c>
      <x:c r="S3" s="3" t="n">
        <x:v>2242040</x:v>
      </x:c>
      <x:c r="T3" s="2" t="str">
        <x:v>4/3/4</x:v>
      </x:c>
      <x:c r="U3" s="2" t="str">
        <x:v>results/formal_composition/C_free_compressed_deferred_hot90_N4096_B64_seed102.json</x:v>
      </x:c>
      <x:c r="V3" s="2" t="str">
        <x:v>439bffc5bb253a0a6702387369df80ce93e77072c22b9a5a4a689c8a23796f63</x:v>
      </x:c>
    </x:row>
    <x:row r="4" ht="22" customHeight="1">
      <x:c r="A4" s="2" t="str">
        <x:v>C_free_compressed_deferred_hot90_N4096_B64_seed103</x:v>
      </x:c>
      <x:c r="B4" s="2" t="str">
        <x:v>free_compressed</x:v>
      </x:c>
      <x:c r="C4" s="2" t="str">
        <x:v>hot90</x:v>
      </x:c>
      <x:c r="D4" s="2" t="str">
        <x:v>deferred</x:v>
      </x:c>
      <x:c r="E4" s="3" t="n">
        <x:v>103</x:v>
      </x:c>
      <x:c r="F4" s="3" t="n">
        <x:v>4096</x:v>
      </x:c>
      <x:c r="G4" s="3" t="n">
        <x:v>64</x:v>
      </x:c>
      <x:c r="H4" s="3" t="n">
        <x:v>4096</x:v>
      </x:c>
      <x:c r="I4" s="3" t="n">
        <x:v>160023600</x:v>
      </x:c>
      <x:c r="J4" s="3" t="n">
        <x:v>93331444</x:v>
      </x:c>
      <x:c r="K4" s="3" t="n">
        <x:v>66692156</x:v>
      </x:c>
      <x:c r="L4" s="3" t="n">
        <x:v>24394</x:v>
      </x:c>
      <x:c r="M4" s="3" t="n">
        <x:v>50739520</x:v>
      </x:c>
      <x:c r="N4" s="3" t="n">
        <x:v>12683840</x:v>
      </x:c>
      <x:c r="O4" s="3" t="n">
        <x:v>32346444</x:v>
      </x:c>
      <x:c r="P4" s="3" t="n">
        <x:v>32346444</x:v>
      </x:c>
      <x:c r="Q4" s="3" t="n">
        <x:v>9367296</x:v>
      </x:c>
      <x:c r="R4" s="3" t="n">
        <x:v>20295808</x:v>
      </x:c>
      <x:c r="S4" s="3" t="n">
        <x:v>2244248</x:v>
      </x:c>
      <x:c r="T4" s="2" t="str">
        <x:v>4/3/4</x:v>
      </x:c>
      <x:c r="U4" s="2" t="str">
        <x:v>results/formal_composition/C_free_compressed_deferred_hot90_N4096_B64_seed103.json</x:v>
      </x:c>
      <x:c r="V4" s="2" t="str">
        <x:v>a78bd1e8f7eb077a45d4ae8a451f84a935e081e9e04c860d7af8f8497629807d</x:v>
      </x:c>
    </x:row>
    <x:row r="5" ht="22" customHeight="1">
      <x:c r="A5" s="2" t="str">
        <x:v>C_free_compressed_deferred_hot90_N4096_B64_seed104</x:v>
      </x:c>
      <x:c r="B5" s="2" t="str">
        <x:v>free_compressed</x:v>
      </x:c>
      <x:c r="C5" s="2" t="str">
        <x:v>hot90</x:v>
      </x:c>
      <x:c r="D5" s="2" t="str">
        <x:v>deferred</x:v>
      </x:c>
      <x:c r="E5" s="3" t="n">
        <x:v>104</x:v>
      </x:c>
      <x:c r="F5" s="3" t="n">
        <x:v>4096</x:v>
      </x:c>
      <x:c r="G5" s="3" t="n">
        <x:v>64</x:v>
      </x:c>
      <x:c r="H5" s="3" t="n">
        <x:v>4096</x:v>
      </x:c>
      <x:c r="I5" s="3" t="n">
        <x:v>160326400</x:v>
      </x:c>
      <x:c r="J5" s="3" t="n">
        <x:v>93507440</x:v>
      </x:c>
      <x:c r="K5" s="3" t="n">
        <x:v>66818960</x:v>
      </x:c>
      <x:c r="L5" s="3" t="n">
        <x:v>24440</x:v>
      </x:c>
      <x:c r="M5" s="3" t="n">
        <x:v>50835200</x:v>
      </x:c>
      <x:c r="N5" s="3" t="n">
        <x:v>12708800</x:v>
      </x:c>
      <x:c r="O5" s="3" t="n">
        <x:v>32407440</x:v>
      </x:c>
      <x:c r="P5" s="3" t="n">
        <x:v>32407440</x:v>
      </x:c>
      <x:c r="Q5" s="3" t="n">
        <x:v>9384960</x:v>
      </x:c>
      <x:c r="R5" s="3" t="n">
        <x:v>20334080</x:v>
      </x:c>
      <x:c r="S5" s="3" t="n">
        <x:v>2248480</x:v>
      </x:c>
      <x:c r="T5" s="2" t="str">
        <x:v>4/3/4</x:v>
      </x:c>
      <x:c r="U5" s="2" t="str">
        <x:v>results/formal_composition/C_free_compressed_deferred_hot90_N4096_B64_seed104.json</x:v>
      </x:c>
      <x:c r="V5" s="2" t="str">
        <x:v>4a6a2ca3f2ed4ce5d7e3c25894efa0fdea1ba9a36ac75e0a54d7ab5ce51805f7</x:v>
      </x:c>
    </x:row>
    <x:row r="6" ht="22" customHeight="1">
      <x:c r="A6" s="2" t="str">
        <x:v>C_free_compressed_deferred_hot90_N4096_B64_seed105</x:v>
      </x:c>
      <x:c r="B6" s="2" t="str">
        <x:v>free_compressed</x:v>
      </x:c>
      <x:c r="C6" s="2" t="str">
        <x:v>hot90</x:v>
      </x:c>
      <x:c r="D6" s="2" t="str">
        <x:v>deferred</x:v>
      </x:c>
      <x:c r="E6" s="3" t="n">
        <x:v>105</x:v>
      </x:c>
      <x:c r="F6" s="3" t="n">
        <x:v>4096</x:v>
      </x:c>
      <x:c r="G6" s="3" t="n">
        <x:v>64</x:v>
      </x:c>
      <x:c r="H6" s="3" t="n">
        <x:v>4096</x:v>
      </x:c>
      <x:c r="I6" s="3" t="n">
        <x:v>159894480</x:v>
      </x:c>
      <x:c r="J6" s="3" t="n">
        <x:v>93254924</x:v>
      </x:c>
      <x:c r="K6" s="3" t="n">
        <x:v>66639556</x:v>
      </x:c>
      <x:c r="L6" s="3" t="n">
        <x:v>24374</x:v>
      </x:c>
      <x:c r="M6" s="3" t="n">
        <x:v>50697920</x:v>
      </x:c>
      <x:c r="N6" s="3" t="n">
        <x:v>12675520</x:v>
      </x:c>
      <x:c r="O6" s="3" t="n">
        <x:v>32319924</x:v>
      </x:c>
      <x:c r="P6" s="3" t="n">
        <x:v>32319924</x:v>
      </x:c>
      <x:c r="Q6" s="3" t="n">
        <x:v>9359616</x:v>
      </x:c>
      <x:c r="R6" s="3" t="n">
        <x:v>20279168</x:v>
      </x:c>
      <x:c r="S6" s="3" t="n">
        <x:v>2242408</x:v>
      </x:c>
      <x:c r="T6" s="2" t="str">
        <x:v>4/3/4</x:v>
      </x:c>
      <x:c r="U6" s="2" t="str">
        <x:v>results/formal_composition/C_free_compressed_deferred_hot90_N4096_B64_seed105.json</x:v>
      </x:c>
      <x:c r="V6" s="2" t="str">
        <x:v>2f220440c94a9fc3ee17e214a325975df4e45dac60ad29ea3bc27b0af633750b</x:v>
      </x:c>
    </x:row>
    <x:row r="7" ht="22" customHeight="1">
      <x:c r="A7" s="2" t="str">
        <x:v>C_free_compressed_deferred_scan_N4096_B64_seed101</x:v>
      </x:c>
      <x:c r="B7" s="2" t="str">
        <x:v>free_compressed</x:v>
      </x:c>
      <x:c r="C7" s="2" t="str">
        <x:v>scan</x:v>
      </x:c>
      <x:c r="D7" s="2" t="str">
        <x:v>deferred</x:v>
      </x:c>
      <x:c r="E7" s="3" t="n">
        <x:v>101</x:v>
      </x:c>
      <x:c r="F7" s="3" t="n">
        <x:v>4096</x:v>
      </x:c>
      <x:c r="G7" s="3" t="n">
        <x:v>64</x:v>
      </x:c>
      <x:c r="H7" s="3" t="n">
        <x:v>4096</x:v>
      </x:c>
      <x:c r="I7" s="3" t="n">
        <x:v>74020960</x:v>
      </x:c>
      <x:c r="J7" s="3" t="n">
        <x:v>43172584</x:v>
      </x:c>
      <x:c r="K7" s="3" t="n">
        <x:v>30848376</x:v>
      </x:c>
      <x:c r="L7" s="3" t="n">
        <x:v>11284</x:v>
      </x:c>
      <x:c r="M7" s="3" t="n">
        <x:v>23470720</x:v>
      </x:c>
      <x:c r="N7" s="3" t="n">
        <x:v>5865600</x:v>
      </x:c>
      <x:c r="O7" s="3" t="n">
        <x:v>14962584</x:v>
      </x:c>
      <x:c r="P7" s="3" t="n">
        <x:v>14962584</x:v>
      </x:c>
      <x:c r="Q7" s="3" t="n">
        <x:v>4333056</x:v>
      </x:c>
      <x:c r="R7" s="3" t="n">
        <x:v>9388288</x:v>
      </x:c>
      <x:c r="S7" s="3" t="n">
        <x:v>1038128</x:v>
      </x:c>
      <x:c r="T7" s="2" t="str">
        <x:v>4/3/4</x:v>
      </x:c>
      <x:c r="U7" s="2" t="str">
        <x:v>results/formal_composition/C_free_compressed_deferred_scan_N4096_B64_seed101.json</x:v>
      </x:c>
      <x:c r="V7" s="2" t="str">
        <x:v>32e508d7c4d82acdecbdfc92f831ed9b393807ea390b1345856a3bd545d1cb2f</x:v>
      </x:c>
    </x:row>
    <x:row r="8" ht="22" customHeight="1">
      <x:c r="A8" s="2" t="str">
        <x:v>C_free_compressed_deferred_scan_N4096_B64_seed102</x:v>
      </x:c>
      <x:c r="B8" s="2" t="str">
        <x:v>free_compressed</x:v>
      </x:c>
      <x:c r="C8" s="2" t="str">
        <x:v>scan</x:v>
      </x:c>
      <x:c r="D8" s="2" t="str">
        <x:v>deferred</x:v>
      </x:c>
      <x:c r="E8" s="3" t="n">
        <x:v>102</x:v>
      </x:c>
      <x:c r="F8" s="3" t="n">
        <x:v>4096</x:v>
      </x:c>
      <x:c r="G8" s="3" t="n">
        <x:v>64</x:v>
      </x:c>
      <x:c r="H8" s="3" t="n">
        <x:v>4096</x:v>
      </x:c>
      <x:c r="I8" s="3" t="n">
        <x:v>74020960</x:v>
      </x:c>
      <x:c r="J8" s="3" t="n">
        <x:v>43172584</x:v>
      </x:c>
      <x:c r="K8" s="3" t="n">
        <x:v>30848376</x:v>
      </x:c>
      <x:c r="L8" s="3" t="n">
        <x:v>11284</x:v>
      </x:c>
      <x:c r="M8" s="3" t="n">
        <x:v>23470720</x:v>
      </x:c>
      <x:c r="N8" s="3" t="n">
        <x:v>5865600</x:v>
      </x:c>
      <x:c r="O8" s="3" t="n">
        <x:v>14962584</x:v>
      </x:c>
      <x:c r="P8" s="3" t="n">
        <x:v>14962584</x:v>
      </x:c>
      <x:c r="Q8" s="3" t="n">
        <x:v>4333056</x:v>
      </x:c>
      <x:c r="R8" s="3" t="n">
        <x:v>9388288</x:v>
      </x:c>
      <x:c r="S8" s="3" t="n">
        <x:v>1038128</x:v>
      </x:c>
      <x:c r="T8" s="2" t="str">
        <x:v>4/3/4</x:v>
      </x:c>
      <x:c r="U8" s="2" t="str">
        <x:v>results/formal_composition/C_free_compressed_deferred_scan_N4096_B64_seed102.json</x:v>
      </x:c>
      <x:c r="V8" s="2" t="str">
        <x:v>57bc0a3454da24b5db15770c7f3375ee846d6e8f180a6ad9287b7b95da776fa3</x:v>
      </x:c>
    </x:row>
    <x:row r="9" ht="22" customHeight="1">
      <x:c r="A9" s="2" t="str">
        <x:v>C_free_compressed_deferred_scan_N4096_B64_seed103</x:v>
      </x:c>
      <x:c r="B9" s="2" t="str">
        <x:v>free_compressed</x:v>
      </x:c>
      <x:c r="C9" s="2" t="str">
        <x:v>scan</x:v>
      </x:c>
      <x:c r="D9" s="2" t="str">
        <x:v>deferred</x:v>
      </x:c>
      <x:c r="E9" s="3" t="n">
        <x:v>103</x:v>
      </x:c>
      <x:c r="F9" s="3" t="n">
        <x:v>4096</x:v>
      </x:c>
      <x:c r="G9" s="3" t="n">
        <x:v>64</x:v>
      </x:c>
      <x:c r="H9" s="3" t="n">
        <x:v>4096</x:v>
      </x:c>
      <x:c r="I9" s="3" t="n">
        <x:v>74020960</x:v>
      </x:c>
      <x:c r="J9" s="3" t="n">
        <x:v>43172584</x:v>
      </x:c>
      <x:c r="K9" s="3" t="n">
        <x:v>30848376</x:v>
      </x:c>
      <x:c r="L9" s="3" t="n">
        <x:v>11284</x:v>
      </x:c>
      <x:c r="M9" s="3" t="n">
        <x:v>23470720</x:v>
      </x:c>
      <x:c r="N9" s="3" t="n">
        <x:v>5865600</x:v>
      </x:c>
      <x:c r="O9" s="3" t="n">
        <x:v>14962584</x:v>
      </x:c>
      <x:c r="P9" s="3" t="n">
        <x:v>14962584</x:v>
      </x:c>
      <x:c r="Q9" s="3" t="n">
        <x:v>4333056</x:v>
      </x:c>
      <x:c r="R9" s="3" t="n">
        <x:v>9388288</x:v>
      </x:c>
      <x:c r="S9" s="3" t="n">
        <x:v>1038128</x:v>
      </x:c>
      <x:c r="T9" s="2" t="str">
        <x:v>4/3/4</x:v>
      </x:c>
      <x:c r="U9" s="2" t="str">
        <x:v>results/formal_composition/C_free_compressed_deferred_scan_N4096_B64_seed103.json</x:v>
      </x:c>
      <x:c r="V9" s="2" t="str">
        <x:v>6d34b55d896da4fbc2411c0aacd95b104d94f276ce259b3dfd2f825272207015</x:v>
      </x:c>
    </x:row>
    <x:row r="10" ht="22" customHeight="1">
      <x:c r="A10" s="2" t="str">
        <x:v>C_free_compressed_deferred_scan_N4096_B64_seed104</x:v>
      </x:c>
      <x:c r="B10" s="2" t="str">
        <x:v>free_compressed</x:v>
      </x:c>
      <x:c r="C10" s="2" t="str">
        <x:v>scan</x:v>
      </x:c>
      <x:c r="D10" s="2" t="str">
        <x:v>deferred</x:v>
      </x:c>
      <x:c r="E10" s="3" t="n">
        <x:v>104</x:v>
      </x:c>
      <x:c r="F10" s="3" t="n">
        <x:v>4096</x:v>
      </x:c>
      <x:c r="G10" s="3" t="n">
        <x:v>64</x:v>
      </x:c>
      <x:c r="H10" s="3" t="n">
        <x:v>4096</x:v>
      </x:c>
      <x:c r="I10" s="3" t="n">
        <x:v>74020960</x:v>
      </x:c>
      <x:c r="J10" s="3" t="n">
        <x:v>43172584</x:v>
      </x:c>
      <x:c r="K10" s="3" t="n">
        <x:v>30848376</x:v>
      </x:c>
      <x:c r="L10" s="3" t="n">
        <x:v>11284</x:v>
      </x:c>
      <x:c r="M10" s="3" t="n">
        <x:v>23470720</x:v>
      </x:c>
      <x:c r="N10" s="3" t="n">
        <x:v>5865600</x:v>
      </x:c>
      <x:c r="O10" s="3" t="n">
        <x:v>14962584</x:v>
      </x:c>
      <x:c r="P10" s="3" t="n">
        <x:v>14962584</x:v>
      </x:c>
      <x:c r="Q10" s="3" t="n">
        <x:v>4333056</x:v>
      </x:c>
      <x:c r="R10" s="3" t="n">
        <x:v>9388288</x:v>
      </x:c>
      <x:c r="S10" s="3" t="n">
        <x:v>1038128</x:v>
      </x:c>
      <x:c r="T10" s="2" t="str">
        <x:v>4/3/4</x:v>
      </x:c>
      <x:c r="U10" s="2" t="str">
        <x:v>results/formal_composition/C_free_compressed_deferred_scan_N4096_B64_seed104.json</x:v>
      </x:c>
      <x:c r="V10" s="2" t="str">
        <x:v>baeebbe1fd198c51c829e8f383733677db5c3e681077439917d426ae32312c91</x:v>
      </x:c>
    </x:row>
    <x:row r="11" ht="22" customHeight="1">
      <x:c r="A11" s="2" t="str">
        <x:v>C_free_compressed_deferred_scan_N4096_B64_seed105</x:v>
      </x:c>
      <x:c r="B11" s="2" t="str">
        <x:v>free_compressed</x:v>
      </x:c>
      <x:c r="C11" s="2" t="str">
        <x:v>scan</x:v>
      </x:c>
      <x:c r="D11" s="2" t="str">
        <x:v>deferred</x:v>
      </x:c>
      <x:c r="E11" s="3" t="n">
        <x:v>105</x:v>
      </x:c>
      <x:c r="F11" s="3" t="n">
        <x:v>4096</x:v>
      </x:c>
      <x:c r="G11" s="3" t="n">
        <x:v>64</x:v>
      </x:c>
      <x:c r="H11" s="3" t="n">
        <x:v>4096</x:v>
      </x:c>
      <x:c r="I11" s="3" t="n">
        <x:v>74020960</x:v>
      </x:c>
      <x:c r="J11" s="3" t="n">
        <x:v>43172584</x:v>
      </x:c>
      <x:c r="K11" s="3" t="n">
        <x:v>30848376</x:v>
      </x:c>
      <x:c r="L11" s="3" t="n">
        <x:v>11284</x:v>
      </x:c>
      <x:c r="M11" s="3" t="n">
        <x:v>23470720</x:v>
      </x:c>
      <x:c r="N11" s="3" t="n">
        <x:v>5865600</x:v>
      </x:c>
      <x:c r="O11" s="3" t="n">
        <x:v>14962584</x:v>
      </x:c>
      <x:c r="P11" s="3" t="n">
        <x:v>14962584</x:v>
      </x:c>
      <x:c r="Q11" s="3" t="n">
        <x:v>4333056</x:v>
      </x:c>
      <x:c r="R11" s="3" t="n">
        <x:v>9388288</x:v>
      </x:c>
      <x:c r="S11" s="3" t="n">
        <x:v>1038128</x:v>
      </x:c>
      <x:c r="T11" s="2" t="str">
        <x:v>4/3/4</x:v>
      </x:c>
      <x:c r="U11" s="2" t="str">
        <x:v>results/formal_composition/C_free_compressed_deferred_scan_N4096_B64_seed105.json</x:v>
      </x:c>
      <x:c r="V11" s="2" t="str">
        <x:v>6f5d53dcdfddc2c7553dd8642111389d0ac9d9a9fe09dc32181f10137951adf2</x:v>
      </x:c>
    </x:row>
    <x:row r="12" ht="22" customHeight="1">
      <x:c r="A12" s="2" t="str">
        <x:v>C_free_compressed_deferred_uniform_N4096_B64_seed101</x:v>
      </x:c>
      <x:c r="B12" s="2" t="str">
        <x:v>free_compressed</x:v>
      </x:c>
      <x:c r="C12" s="2" t="str">
        <x:v>uniform</x:v>
      </x:c>
      <x:c r="D12" s="2" t="str">
        <x:v>deferred</x:v>
      </x:c>
      <x:c r="E12" s="3" t="n">
        <x:v>101</x:v>
      </x:c>
      <x:c r="F12" s="3" t="n">
        <x:v>4096</x:v>
      </x:c>
      <x:c r="G12" s="3" t="n">
        <x:v>64</x:v>
      </x:c>
      <x:c r="H12" s="3" t="n">
        <x:v>4096</x:v>
      </x:c>
      <x:c r="I12" s="3" t="n">
        <x:v>168210480</x:v>
      </x:c>
      <x:c r="J12" s="3" t="n">
        <x:v>98106292</x:v>
      </x:c>
      <x:c r="K12" s="3" t="n">
        <x:v>70104188</x:v>
      </x:c>
      <x:c r="L12" s="3" t="n">
        <x:v>25642</x:v>
      </x:c>
      <x:c r="M12" s="3" t="n">
        <x:v>53335360</x:v>
      </x:c>
      <x:c r="N12" s="3" t="n">
        <x:v>13332800</x:v>
      </x:c>
      <x:c r="O12" s="3" t="n">
        <x:v>34001292</x:v>
      </x:c>
      <x:c r="P12" s="3" t="n">
        <x:v>34001292</x:v>
      </x:c>
      <x:c r="Q12" s="3" t="n">
        <x:v>9846528</x:v>
      </x:c>
      <x:c r="R12" s="3" t="n">
        <x:v>21334144</x:v>
      </x:c>
      <x:c r="S12" s="3" t="n">
        <x:v>2359064</x:v>
      </x:c>
      <x:c r="T12" s="2" t="str">
        <x:v>4/3/4</x:v>
      </x:c>
      <x:c r="U12" s="2" t="str">
        <x:v>results/formal_composition/C_free_compressed_deferred_uniform_N4096_B64_seed101.json</x:v>
      </x:c>
      <x:c r="V12" s="2" t="str">
        <x:v>213d6204b1993da07da597d5ee68d81693a01027b33cd10c68c41667876841d5</x:v>
      </x:c>
    </x:row>
    <x:row r="13" ht="22" customHeight="1">
      <x:c r="A13" s="2" t="str">
        <x:v>C_free_compressed_deferred_uniform_N4096_B64_seed102</x:v>
      </x:c>
      <x:c r="B13" s="2" t="str">
        <x:v>free_compressed</x:v>
      </x:c>
      <x:c r="C13" s="2" t="str">
        <x:v>uniform</x:v>
      </x:c>
      <x:c r="D13" s="2" t="str">
        <x:v>deferred</x:v>
      </x:c>
      <x:c r="E13" s="3" t="n">
        <x:v>102</x:v>
      </x:c>
      <x:c r="F13" s="3" t="n">
        <x:v>4096</x:v>
      </x:c>
      <x:c r="G13" s="3" t="n">
        <x:v>64</x:v>
      </x:c>
      <x:c r="H13" s="3" t="n">
        <x:v>4096</x:v>
      </x:c>
      <x:c r="I13" s="3" t="n">
        <x:v>168158000</x:v>
      </x:c>
      <x:c r="J13" s="3" t="n">
        <x:v>98075684</x:v>
      </x:c>
      <x:c r="K13" s="3" t="n">
        <x:v>70082316</x:v>
      </x:c>
      <x:c r="L13" s="3" t="n">
        <x:v>25634</x:v>
      </x:c>
      <x:c r="M13" s="3" t="n">
        <x:v>53318720</x:v>
      </x:c>
      <x:c r="N13" s="3" t="n">
        <x:v>13328640</x:v>
      </x:c>
      <x:c r="O13" s="3" t="n">
        <x:v>33990684</x:v>
      </x:c>
      <x:c r="P13" s="3" t="n">
        <x:v>33990684</x:v>
      </x:c>
      <x:c r="Q13" s="3" t="n">
        <x:v>9843456</x:v>
      </x:c>
      <x:c r="R13" s="3" t="n">
        <x:v>21327488</x:v>
      </x:c>
      <x:c r="S13" s="3" t="n">
        <x:v>2358328</x:v>
      </x:c>
      <x:c r="T13" s="2" t="str">
        <x:v>4/3/4</x:v>
      </x:c>
      <x:c r="U13" s="2" t="str">
        <x:v>results/formal_composition/C_free_compressed_deferred_uniform_N4096_B64_seed102.json</x:v>
      </x:c>
      <x:c r="V13" s="2" t="str">
        <x:v>9e04a68018ed83e2376e7bd1b424a9ffd7e7c8e7e6336b1467dcb780530edcb2</x:v>
      </x:c>
    </x:row>
    <x:row r="14" ht="22" customHeight="1">
      <x:c r="A14" s="2" t="str">
        <x:v>C_free_compressed_deferred_uniform_N4096_B64_seed103</x:v>
      </x:c>
      <x:c r="B14" s="2" t="str">
        <x:v>free_compressed</x:v>
      </x:c>
      <x:c r="C14" s="2" t="str">
        <x:v>uniform</x:v>
      </x:c>
      <x:c r="D14" s="2" t="str">
        <x:v>deferred</x:v>
      </x:c>
      <x:c r="E14" s="3" t="n">
        <x:v>103</x:v>
      </x:c>
      <x:c r="F14" s="3" t="n">
        <x:v>4096</x:v>
      </x:c>
      <x:c r="G14" s="3" t="n">
        <x:v>64</x:v>
      </x:c>
      <x:c r="H14" s="3" t="n">
        <x:v>4096</x:v>
      </x:c>
      <x:c r="I14" s="3" t="n">
        <x:v>167504080</x:v>
      </x:c>
      <x:c r="J14" s="3" t="n">
        <x:v>97693084</x:v>
      </x:c>
      <x:c r="K14" s="3" t="n">
        <x:v>69810996</x:v>
      </x:c>
      <x:c r="L14" s="3" t="n">
        <x:v>25534</x:v>
      </x:c>
      <x:c r="M14" s="3" t="n">
        <x:v>53110720</x:v>
      </x:c>
      <x:c r="N14" s="3" t="n">
        <x:v>13278720</x:v>
      </x:c>
      <x:c r="O14" s="3" t="n">
        <x:v>33858084</x:v>
      </x:c>
      <x:c r="P14" s="3" t="n">
        <x:v>33858084</x:v>
      </x:c>
      <x:c r="Q14" s="3" t="n">
        <x:v>9805056</x:v>
      </x:c>
      <x:c r="R14" s="3" t="n">
        <x:v>21244288</x:v>
      </x:c>
      <x:c r="S14" s="3" t="n">
        <x:v>2349128</x:v>
      </x:c>
      <x:c r="T14" s="2" t="str">
        <x:v>4/3/4</x:v>
      </x:c>
      <x:c r="U14" s="2" t="str">
        <x:v>results/formal_composition/C_free_compressed_deferred_uniform_N4096_B64_seed103.json</x:v>
      </x:c>
      <x:c r="V14" s="2" t="str">
        <x:v>51d62ba805fe9194702450af202dafc49eedfb92c920966c13f41f564dcc1fd6</x:v>
      </x:c>
    </x:row>
    <x:row r="15" ht="22" customHeight="1">
      <x:c r="A15" s="2" t="str">
        <x:v>C_free_compressed_deferred_uniform_N4096_B64_seed104</x:v>
      </x:c>
      <x:c r="B15" s="2" t="str">
        <x:v>free_compressed</x:v>
      </x:c>
      <x:c r="C15" s="2" t="str">
        <x:v>uniform</x:v>
      </x:c>
      <x:c r="D15" s="2" t="str">
        <x:v>deferred</x:v>
      </x:c>
      <x:c r="E15" s="3" t="n">
        <x:v>104</x:v>
      </x:c>
      <x:c r="F15" s="3" t="n">
        <x:v>4096</x:v>
      </x:c>
      <x:c r="G15" s="3" t="n">
        <x:v>64</x:v>
      </x:c>
      <x:c r="H15" s="3" t="n">
        <x:v>4096</x:v>
      </x:c>
      <x:c r="I15" s="3" t="n">
        <x:v>166991360</x:v>
      </x:c>
      <x:c r="J15" s="3" t="n">
        <x:v>97394656</x:v>
      </x:c>
      <x:c r="K15" s="3" t="n">
        <x:v>69596704</x:v>
      </x:c>
      <x:c r="L15" s="3" t="n">
        <x:v>25456</x:v>
      </x:c>
      <x:c r="M15" s="3" t="n">
        <x:v>52948480</x:v>
      </x:c>
      <x:c r="N15" s="3" t="n">
        <x:v>13237120</x:v>
      </x:c>
      <x:c r="O15" s="3" t="n">
        <x:v>33754656</x:v>
      </x:c>
      <x:c r="P15" s="3" t="n">
        <x:v>33754656</x:v>
      </x:c>
      <x:c r="Q15" s="3" t="n">
        <x:v>9775104</x:v>
      </x:c>
      <x:c r="R15" s="3" t="n">
        <x:v>21179392</x:v>
      </x:c>
      <x:c r="S15" s="3" t="n">
        <x:v>2341952</x:v>
      </x:c>
      <x:c r="T15" s="2" t="str">
        <x:v>4/3/4</x:v>
      </x:c>
      <x:c r="U15" s="2" t="str">
        <x:v>results/formal_composition/C_free_compressed_deferred_uniform_N4096_B64_seed104.json</x:v>
      </x:c>
      <x:c r="V15" s="2" t="str">
        <x:v>2140b7f7eef91a6b64f6d206726c282fbcc411aad57133f55df5e22942ba261d</x:v>
      </x:c>
    </x:row>
    <x:row r="16" ht="22" customHeight="1">
      <x:c r="A16" s="2" t="str">
        <x:v>C_free_compressed_deferred_uniform_N4096_B64_seed105</x:v>
      </x:c>
      <x:c r="B16" s="2" t="str">
        <x:v>free_compressed</x:v>
      </x:c>
      <x:c r="C16" s="2" t="str">
        <x:v>uniform</x:v>
      </x:c>
      <x:c r="D16" s="2" t="str">
        <x:v>deferred</x:v>
      </x:c>
      <x:c r="E16" s="3" t="n">
        <x:v>105</x:v>
      </x:c>
      <x:c r="F16" s="3" t="n">
        <x:v>4096</x:v>
      </x:c>
      <x:c r="G16" s="3" t="n">
        <x:v>64</x:v>
      </x:c>
      <x:c r="H16" s="3" t="n">
        <x:v>4096</x:v>
      </x:c>
      <x:c r="I16" s="3" t="n">
        <x:v>167818960</x:v>
      </x:c>
      <x:c r="J16" s="3" t="n">
        <x:v>97876732</x:v>
      </x:c>
      <x:c r="K16" s="3" t="n">
        <x:v>69942228</x:v>
      </x:c>
      <x:c r="L16" s="3" t="n">
        <x:v>25582</x:v>
      </x:c>
      <x:c r="M16" s="3" t="n">
        <x:v>53210560</x:v>
      </x:c>
      <x:c r="N16" s="3" t="n">
        <x:v>13303680</x:v>
      </x:c>
      <x:c r="O16" s="3" t="n">
        <x:v>33921732</x:v>
      </x:c>
      <x:c r="P16" s="3" t="n">
        <x:v>33921732</x:v>
      </x:c>
      <x:c r="Q16" s="3" t="n">
        <x:v>9823488</x:v>
      </x:c>
      <x:c r="R16" s="3" t="n">
        <x:v>21284224</x:v>
      </x:c>
      <x:c r="S16" s="3" t="n">
        <x:v>2353544</x:v>
      </x:c>
      <x:c r="T16" s="2" t="str">
        <x:v>4/3/4</x:v>
      </x:c>
      <x:c r="U16" s="2" t="str">
        <x:v>results/formal_composition/C_free_compressed_deferred_uniform_N4096_B64_seed105.json</x:v>
      </x:c>
      <x:c r="V16" s="2" t="str">
        <x:v>376e71f700ff7aa303088ee776e564b30068af32b7203ab06eefc70ec03c30a3</x:v>
      </x:c>
    </x:row>
    <x:row r="17" ht="22" customHeight="1">
      <x:c r="A17" s="2" t="str">
        <x:v>C_free_compressed_deferred_zipf09_N4096_B64_seed101</x:v>
      </x:c>
      <x:c r="B17" s="2" t="str">
        <x:v>free_compressed</x:v>
      </x:c>
      <x:c r="C17" s="2" t="str">
        <x:v>zipf09</x:v>
      </x:c>
      <x:c r="D17" s="2" t="str">
        <x:v>deferred</x:v>
      </x:c>
      <x:c r="E17" s="3" t="n">
        <x:v>101</x:v>
      </x:c>
      <x:c r="F17" s="3" t="n">
        <x:v>4096</x:v>
      </x:c>
      <x:c r="G17" s="3" t="n">
        <x:v>64</x:v>
      </x:c>
      <x:c r="H17" s="3" t="n">
        <x:v>4096</x:v>
      </x:c>
      <x:c r="I17" s="3" t="n">
        <x:v>164000000</x:v>
      </x:c>
      <x:c r="J17" s="3" t="n">
        <x:v>95650000</x:v>
      </x:c>
      <x:c r="K17" s="3" t="n">
        <x:v>68350000</x:v>
      </x:c>
      <x:c r="L17" s="3" t="n">
        <x:v>25000</x:v>
      </x:c>
      <x:c r="M17" s="3" t="n">
        <x:v>52000000</x:v>
      </x:c>
      <x:c r="N17" s="3" t="n">
        <x:v>13000000</x:v>
      </x:c>
      <x:c r="O17" s="3" t="n">
        <x:v>33150000</x:v>
      </x:c>
      <x:c r="P17" s="3" t="n">
        <x:v>33150000</x:v>
      </x:c>
      <x:c r="Q17" s="3" t="n">
        <x:v>9600000</x:v>
      </x:c>
      <x:c r="R17" s="3" t="n">
        <x:v>20800000</x:v>
      </x:c>
      <x:c r="S17" s="3" t="n">
        <x:v>2300000</x:v>
      </x:c>
      <x:c r="T17" s="2" t="str">
        <x:v>4/3/4</x:v>
      </x:c>
      <x:c r="U17" s="2" t="str">
        <x:v>results/formal_composition/C_free_compressed_deferred_zipf09_N4096_B64_seed101.json</x:v>
      </x:c>
      <x:c r="V17" s="2" t="str">
        <x:v>b4ea83c7ebb5a13b064a3099e1fb6679311fcb9c2041bd6b87f1ebd6e7afdb9a</x:v>
      </x:c>
    </x:row>
    <x:row r="18" ht="22" customHeight="1">
      <x:c r="A18" s="2" t="str">
        <x:v>C_free_compressed_deferred_zipf09_N4096_B64_seed102</x:v>
      </x:c>
      <x:c r="B18" s="2" t="str">
        <x:v>free_compressed</x:v>
      </x:c>
      <x:c r="C18" s="2" t="str">
        <x:v>zipf09</x:v>
      </x:c>
      <x:c r="D18" s="2" t="str">
        <x:v>deferred</x:v>
      </x:c>
      <x:c r="E18" s="3" t="n">
        <x:v>102</x:v>
      </x:c>
      <x:c r="F18" s="3" t="n">
        <x:v>4096</x:v>
      </x:c>
      <x:c r="G18" s="3" t="n">
        <x:v>64</x:v>
      </x:c>
      <x:c r="H18" s="3" t="n">
        <x:v>4096</x:v>
      </x:c>
      <x:c r="I18" s="3" t="n">
        <x:v>164577280</x:v>
      </x:c>
      <x:c r="J18" s="3" t="n">
        <x:v>95986688</x:v>
      </x:c>
      <x:c r="K18" s="3" t="n">
        <x:v>68590592</x:v>
      </x:c>
      <x:c r="L18" s="3" t="n">
        <x:v>25088</x:v>
      </x:c>
      <x:c r="M18" s="3" t="n">
        <x:v>52183040</x:v>
      </x:c>
      <x:c r="N18" s="3" t="n">
        <x:v>13045760</x:v>
      </x:c>
      <x:c r="O18" s="3" t="n">
        <x:v>33266688</x:v>
      </x:c>
      <x:c r="P18" s="3" t="n">
        <x:v>33266688</x:v>
      </x:c>
      <x:c r="Q18" s="3" t="n">
        <x:v>9633792</x:v>
      </x:c>
      <x:c r="R18" s="3" t="n">
        <x:v>20873216</x:v>
      </x:c>
      <x:c r="S18" s="3" t="n">
        <x:v>2308096</x:v>
      </x:c>
      <x:c r="T18" s="2" t="str">
        <x:v>4/3/4</x:v>
      </x:c>
      <x:c r="U18" s="2" t="str">
        <x:v>results/formal_composition/C_free_compressed_deferred_zipf09_N4096_B64_seed102.json</x:v>
      </x:c>
      <x:c r="V18" s="2" t="str">
        <x:v>9e4904256a8a2efece7a9f1eef0ce6cfe76b27fc14a587840954ef8f3529b00a</x:v>
      </x:c>
    </x:row>
    <x:row r="19" ht="22" customHeight="1">
      <x:c r="A19" s="2" t="str">
        <x:v>C_free_compressed_deferred_zipf09_N4096_B64_seed103</x:v>
      </x:c>
      <x:c r="B19" s="2" t="str">
        <x:v>free_compressed</x:v>
      </x:c>
      <x:c r="C19" s="2" t="str">
        <x:v>zipf09</x:v>
      </x:c>
      <x:c r="D19" s="2" t="str">
        <x:v>deferred</x:v>
      </x:c>
      <x:c r="E19" s="3" t="n">
        <x:v>103</x:v>
      </x:c>
      <x:c r="F19" s="3" t="n">
        <x:v>4096</x:v>
      </x:c>
      <x:c r="G19" s="3" t="n">
        <x:v>64</x:v>
      </x:c>
      <x:c r="H19" s="3" t="n">
        <x:v>4096</x:v>
      </x:c>
      <x:c r="I19" s="3" t="n">
        <x:v>164000000</x:v>
      </x:c>
      <x:c r="J19" s="3" t="n">
        <x:v>95650000</x:v>
      </x:c>
      <x:c r="K19" s="3" t="n">
        <x:v>68350000</x:v>
      </x:c>
      <x:c r="L19" s="3" t="n">
        <x:v>25000</x:v>
      </x:c>
      <x:c r="M19" s="3" t="n">
        <x:v>52000000</x:v>
      </x:c>
      <x:c r="N19" s="3" t="n">
        <x:v>13000000</x:v>
      </x:c>
      <x:c r="O19" s="3" t="n">
        <x:v>33150000</x:v>
      </x:c>
      <x:c r="P19" s="3" t="n">
        <x:v>33150000</x:v>
      </x:c>
      <x:c r="Q19" s="3" t="n">
        <x:v>9600000</x:v>
      </x:c>
      <x:c r="R19" s="3" t="n">
        <x:v>20800000</x:v>
      </x:c>
      <x:c r="S19" s="3" t="n">
        <x:v>2300000</x:v>
      </x:c>
      <x:c r="T19" s="2" t="str">
        <x:v>4/3/4</x:v>
      </x:c>
      <x:c r="U19" s="2" t="str">
        <x:v>results/formal_composition/C_free_compressed_deferred_zipf09_N4096_B64_seed103.json</x:v>
      </x:c>
      <x:c r="V19" s="2" t="str">
        <x:v>f84f02611e745e2b42d84788a762364647f498fc3ad4087a6c279181fc36bc9d</x:v>
      </x:c>
    </x:row>
    <x:row r="20" ht="22" customHeight="1">
      <x:c r="A20" s="2" t="str">
        <x:v>C_free_compressed_deferred_zipf09_N4096_B64_seed104</x:v>
      </x:c>
      <x:c r="B20" s="2" t="str">
        <x:v>free_compressed</x:v>
      </x:c>
      <x:c r="C20" s="2" t="str">
        <x:v>zipf09</x:v>
      </x:c>
      <x:c r="D20" s="2" t="str">
        <x:v>deferred</x:v>
      </x:c>
      <x:c r="E20" s="3" t="n">
        <x:v>104</x:v>
      </x:c>
      <x:c r="F20" s="3" t="n">
        <x:v>4096</x:v>
      </x:c>
      <x:c r="G20" s="3" t="n">
        <x:v>64</x:v>
      </x:c>
      <x:c r="H20" s="3" t="n">
        <x:v>4096</x:v>
      </x:c>
      <x:c r="I20" s="3" t="n">
        <x:v>163224880</x:v>
      </x:c>
      <x:c r="J20" s="3" t="n">
        <x:v>95198532</x:v>
      </x:c>
      <x:c r="K20" s="3" t="n">
        <x:v>68026348</x:v>
      </x:c>
      <x:c r="L20" s="3" t="n">
        <x:v>24882</x:v>
      </x:c>
      <x:c r="M20" s="3" t="n">
        <x:v>51754560</x:v>
      </x:c>
      <x:c r="N20" s="3" t="n">
        <x:v>12937600</x:v>
      </x:c>
      <x:c r="O20" s="3" t="n">
        <x:v>32993532</x:v>
      </x:c>
      <x:c r="P20" s="3" t="n">
        <x:v>32993532</x:v>
      </x:c>
      <x:c r="Q20" s="3" t="n">
        <x:v>9554688</x:v>
      </x:c>
      <x:c r="R20" s="3" t="n">
        <x:v>20701824</x:v>
      </x:c>
      <x:c r="S20" s="3" t="n">
        <x:v>2289144</x:v>
      </x:c>
      <x:c r="T20" s="2" t="str">
        <x:v>4/3/4</x:v>
      </x:c>
      <x:c r="U20" s="2" t="str">
        <x:v>results/formal_composition/C_free_compressed_deferred_zipf09_N4096_B64_seed104.json</x:v>
      </x:c>
      <x:c r="V20" s="2" t="str">
        <x:v>3958e293398289cfda87fe5e6386df1c3e08ec7789d3d2292cfb48262b7ecb0b</x:v>
      </x:c>
    </x:row>
    <x:row r="21" ht="22" customHeight="1">
      <x:c r="A21" s="2" t="str">
        <x:v>C_free_compressed_deferred_zipf09_N4096_B64_seed105</x:v>
      </x:c>
      <x:c r="B21" s="2" t="str">
        <x:v>free_compressed</x:v>
      </x:c>
      <x:c r="C21" s="2" t="str">
        <x:v>zipf09</x:v>
      </x:c>
      <x:c r="D21" s="2" t="str">
        <x:v>deferred</x:v>
      </x:c>
      <x:c r="E21" s="3" t="n">
        <x:v>105</x:v>
      </x:c>
      <x:c r="F21" s="3" t="n">
        <x:v>4096</x:v>
      </x:c>
      <x:c r="G21" s="3" t="n">
        <x:v>64</x:v>
      </x:c>
      <x:c r="H21" s="3" t="n">
        <x:v>4096</x:v>
      </x:c>
      <x:c r="I21" s="3" t="n">
        <x:v>164274480</x:v>
      </x:c>
      <x:c r="J21" s="3" t="n">
        <x:v>95810692</x:v>
      </x:c>
      <x:c r="K21" s="3" t="n">
        <x:v>68463788</x:v>
      </x:c>
      <x:c r="L21" s="3" t="n">
        <x:v>25042</x:v>
      </x:c>
      <x:c r="M21" s="3" t="n">
        <x:v>52087360</x:v>
      </x:c>
      <x:c r="N21" s="3" t="n">
        <x:v>13020800</x:v>
      </x:c>
      <x:c r="O21" s="3" t="n">
        <x:v>33205692</x:v>
      </x:c>
      <x:c r="P21" s="3" t="n">
        <x:v>33205692</x:v>
      </x:c>
      <x:c r="Q21" s="3" t="n">
        <x:v>9616128</x:v>
      </x:c>
      <x:c r="R21" s="3" t="n">
        <x:v>20834944</x:v>
      </x:c>
      <x:c r="S21" s="3" t="n">
        <x:v>2303864</x:v>
      </x:c>
      <x:c r="T21" s="2" t="str">
        <x:v>4/3/4</x:v>
      </x:c>
      <x:c r="U21" s="2" t="str">
        <x:v>results/formal_composition/C_free_compressed_deferred_zipf09_N4096_B64_seed105.json</x:v>
      </x:c>
      <x:c r="V21" s="2" t="str">
        <x:v>73d662988f12dec5975b0b70013de92f33cd234cae9defc5aae4523208da23fa</x:v>
      </x:c>
    </x:row>
    <x:row r="22" ht="22" customHeight="1">
      <x:c r="A22" s="2" t="str">
        <x:v>C_free_compressed_r0_hot90_N4096_B64_seed101</x:v>
      </x:c>
      <x:c r="B22" s="2" t="str">
        <x:v>free_compressed</x:v>
      </x:c>
      <x:c r="C22" s="2" t="str">
        <x:v>hot90</x:v>
      </x:c>
      <x:c r="D22" s="2" t="str">
        <x:v>r0</x:v>
      </x:c>
      <x:c r="E22" s="3" t="n">
        <x:v>101</x:v>
      </x:c>
      <x:c r="F22" s="3" t="n">
        <x:v>4096</x:v>
      </x:c>
      <x:c r="G22" s="3" t="n">
        <x:v>64</x:v>
      </x:c>
      <x:c r="H22" s="3" t="n">
        <x:v>4096</x:v>
      </x:c>
      <x:c r="I22" s="3" t="n">
        <x:v>179230640</x:v>
      </x:c>
      <x:c r="J22" s="3" t="n">
        <x:v>78087164</x:v>
      </x:c>
      <x:c r="K22" s="3" t="n">
        <x:v>101143476</x:v>
      </x:c>
      <x:c r="L22" s="3" t="n">
        <x:v>36573</x:v>
      </x:c>
      <x:c r="M22" s="3" t="n">
        <x:v>17294720</x:v>
      </x:c>
      <x:c r="N22" s="3" t="n">
        <x:v>24318720</x:v>
      </x:c>
      <x:c r="O22" s="3" t="n">
        <x:v>20846760</x:v>
      </x:c>
      <x:c r="P22" s="3" t="n">
        <x:v>20846760</x:v>
      </x:c>
      <x:c r="Q22" s="3" t="n">
        <x:v>38629056</x:v>
      </x:c>
      <x:c r="R22" s="3" t="n">
        <x:v>53161152</x:v>
      </x:c>
      <x:c r="S22" s="3" t="n">
        <x:v>4133472</x:v>
      </x:c>
      <x:c r="T22" s="2" t="str">
        <x:v>4/3/4</x:v>
      </x:c>
      <x:c r="U22" s="2" t="str">
        <x:v>results/formal_composition/C_free_compressed_r0_hot90_N4096_B64_seed101.json</x:v>
      </x:c>
      <x:c r="V22" s="2" t="str">
        <x:v>f4484a3438fd7d7db1a2db0cbfc894eca58c82de7a807cdb1e49e6e2f50c4bc3</x:v>
      </x:c>
    </x:row>
    <x:row r="23" ht="22" customHeight="1">
      <x:c r="A23" s="2" t="str">
        <x:v>C_free_compressed_r0_hot90_N4096_B64_seed102</x:v>
      </x:c>
      <x:c r="B23" s="2" t="str">
        <x:v>free_compressed</x:v>
      </x:c>
      <x:c r="C23" s="2" t="str">
        <x:v>hot90</x:v>
      </x:c>
      <x:c r="D23" s="2" t="str">
        <x:v>r0</x:v>
      </x:c>
      <x:c r="E23" s="3" t="n">
        <x:v>102</x:v>
      </x:c>
      <x:c r="F23" s="3" t="n">
        <x:v>4096</x:v>
      </x:c>
      <x:c r="G23" s="3" t="n">
        <x:v>64</x:v>
      </x:c>
      <x:c r="H23" s="3" t="n">
        <x:v>4096</x:v>
      </x:c>
      <x:c r="I23" s="3" t="n">
        <x:v>179305792</x:v>
      </x:c>
      <x:c r="J23" s="3" t="n">
        <x:v>78163360</x:v>
      </x:c>
      <x:c r="K23" s="3" t="n">
        <x:v>101142432</x:v>
      </x:c>
      <x:c r="L23" s="3" t="n">
        <x:v>36555</x:v>
      </x:c>
      <x:c r="M23" s="3" t="n">
        <x:v>17301520</x:v>
      </x:c>
      <x:c r="N23" s="3" t="n">
        <x:v>24303360</x:v>
      </x:c>
      <x:c r="O23" s="3" t="n">
        <x:v>20878788</x:v>
      </x:c>
      <x:c r="P23" s="3" t="n">
        <x:v>20878788</x:v>
      </x:c>
      <x:c r="Q23" s="3" t="n">
        <x:v>38667072</x:v>
      </x:c>
      <x:c r="R23" s="3" t="n">
        <x:v>53143168</x:v>
      </x:c>
      <x:c r="S23" s="3" t="n">
        <x:v>4133096</x:v>
      </x:c>
      <x:c r="T23" s="2" t="str">
        <x:v>4/3/4</x:v>
      </x:c>
      <x:c r="U23" s="2" t="str">
        <x:v>results/formal_composition/C_free_compressed_r0_hot90_N4096_B64_seed102.json</x:v>
      </x:c>
      <x:c r="V23" s="2" t="str">
        <x:v>30658e37d2b0d778d99039b2b9879ca740a4ed12c30fc19f0e96a6d7aeda39ea</x:v>
      </x:c>
    </x:row>
    <x:row r="24" ht="22" customHeight="1">
      <x:c r="A24" s="2" t="str">
        <x:v>C_free_compressed_r0_hot90_N4096_B64_seed103</x:v>
      </x:c>
      <x:c r="B24" s="2" t="str">
        <x:v>free_compressed</x:v>
      </x:c>
      <x:c r="C24" s="2" t="str">
        <x:v>hot90</x:v>
      </x:c>
      <x:c r="D24" s="2" t="str">
        <x:v>r0</x:v>
      </x:c>
      <x:c r="E24" s="3" t="n">
        <x:v>103</x:v>
      </x:c>
      <x:c r="F24" s="3" t="n">
        <x:v>4096</x:v>
      </x:c>
      <x:c r="G24" s="3" t="n">
        <x:v>64</x:v>
      </x:c>
      <x:c r="H24" s="3" t="n">
        <x:v>4096</x:v>
      </x:c>
      <x:c r="I24" s="3" t="n">
        <x:v>179205168</x:v>
      </x:c>
      <x:c r="J24" s="3" t="n">
        <x:v>78114964</x:v>
      </x:c>
      <x:c r="K24" s="3" t="n">
        <x:v>101090204</x:v>
      </x:c>
      <x:c r="L24" s="3" t="n">
        <x:v>36591</x:v>
      </x:c>
      <x:c r="M24" s="3" t="n">
        <x:v>17287840</x:v>
      </x:c>
      <x:c r="N24" s="3" t="n">
        <x:v>24289280</x:v>
      </x:c>
      <x:c r="O24" s="3" t="n">
        <x:v>20857368</x:v>
      </x:c>
      <x:c r="P24" s="3" t="n">
        <x:v>20857368</x:v>
      </x:c>
      <x:c r="Q24" s="3" t="n">
        <x:v>38652480</x:v>
      </x:c>
      <x:c r="R24" s="3" t="n">
        <x:v>53125312</x:v>
      </x:c>
      <x:c r="S24" s="3" t="n">
        <x:v>4135520</x:v>
      </x:c>
      <x:c r="T24" s="2" t="str">
        <x:v>4/3/4</x:v>
      </x:c>
      <x:c r="U24" s="2" t="str">
        <x:v>results/formal_composition/C_free_compressed_r0_hot90_N4096_B64_seed103.json</x:v>
      </x:c>
      <x:c r="V24" s="2" t="str">
        <x:v>3f077dfb543d66f7506dd1c70fdc3a7403d30c497827f48b534b554555668331</x:v>
      </x:c>
    </x:row>
    <x:row r="25" ht="22" customHeight="1">
      <x:c r="A25" s="2" t="str">
        <x:v>C_free_compressed_r0_hot90_N4096_B64_seed104</x:v>
      </x:c>
      <x:c r="B25" s="2" t="str">
        <x:v>free_compressed</x:v>
      </x:c>
      <x:c r="C25" s="2" t="str">
        <x:v>hot90</x:v>
      </x:c>
      <x:c r="D25" s="2" t="str">
        <x:v>r0</x:v>
      </x:c>
      <x:c r="E25" s="3" t="n">
        <x:v>104</x:v>
      </x:c>
      <x:c r="F25" s="3" t="n">
        <x:v>4096</x:v>
      </x:c>
      <x:c r="G25" s="3" t="n">
        <x:v>64</x:v>
      </x:c>
      <x:c r="H25" s="3" t="n">
        <x:v>4096</x:v>
      </x:c>
      <x:c r="I25" s="3" t="n">
        <x:v>179828048</x:v>
      </x:c>
      <x:c r="J25" s="3" t="n">
        <x:v>78315836</x:v>
      </x:c>
      <x:c r="K25" s="3" t="n">
        <x:v>101512212</x:v>
      </x:c>
      <x:c r="L25" s="3" t="n">
        <x:v>36660</x:v>
      </x:c>
      <x:c r="M25" s="3" t="n">
        <x:v>17358320</x:v>
      </x:c>
      <x:c r="N25" s="3" t="n">
        <x:v>24418560</x:v>
      </x:c>
      <x:c r="O25" s="3" t="n">
        <x:v>20913468</x:v>
      </x:c>
      <x:c r="P25" s="3" t="n">
        <x:v>20913468</x:v>
      </x:c>
      <x:c r="Q25" s="3" t="n">
        <x:v>38724288</x:v>
      </x:c>
      <x:c r="R25" s="3" t="n">
        <x:v>53355968</x:v>
      </x:c>
      <x:c r="S25" s="3" t="n">
        <x:v>4143976</x:v>
      </x:c>
      <x:c r="T25" s="2" t="str">
        <x:v>4/3/4</x:v>
      </x:c>
      <x:c r="U25" s="2" t="str">
        <x:v>results/formal_composition/C_free_compressed_r0_hot90_N4096_B64_seed104.json</x:v>
      </x:c>
      <x:c r="V25" s="2" t="str">
        <x:v>a886262e3304b029a585d5ba896fa539ee7725e5e7082ef0112fd303437d6645</x:v>
      </x:c>
    </x:row>
    <x:row r="26" ht="22" customHeight="1">
      <x:c r="A26" s="2" t="str">
        <x:v>C_free_compressed_r0_hot90_N4096_B64_seed105</x:v>
      </x:c>
      <x:c r="B26" s="2" t="str">
        <x:v>free_compressed</x:v>
      </x:c>
      <x:c r="C26" s="2" t="str">
        <x:v>hot90</x:v>
      </x:c>
      <x:c r="D26" s="2" t="str">
        <x:v>r0</x:v>
      </x:c>
      <x:c r="E26" s="3" t="n">
        <x:v>105</x:v>
      </x:c>
      <x:c r="F26" s="3" t="n">
        <x:v>4096</x:v>
      </x:c>
      <x:c r="G26" s="3" t="n">
        <x:v>64</x:v>
      </x:c>
      <x:c r="H26" s="3" t="n">
        <x:v>4096</x:v>
      </x:c>
      <x:c r="I26" s="3" t="n">
        <x:v>179345424</x:v>
      </x:c>
      <x:c r="J26" s="3" t="n">
        <x:v>78103416</x:v>
      </x:c>
      <x:c r="K26" s="3" t="n">
        <x:v>101242008</x:v>
      </x:c>
      <x:c r="L26" s="3" t="n">
        <x:v>36561</x:v>
      </x:c>
      <x:c r="M26" s="3" t="n">
        <x:v>17311680</x:v>
      </x:c>
      <x:c r="N26" s="3" t="n">
        <x:v>24355200</x:v>
      </x:c>
      <x:c r="O26" s="3" t="n">
        <x:v>20855124</x:v>
      </x:c>
      <x:c r="P26" s="3" t="n">
        <x:v>20855124</x:v>
      </x:c>
      <x:c r="Q26" s="3" t="n">
        <x:v>38620416</x:v>
      </x:c>
      <x:c r="R26" s="3" t="n">
        <x:v>53215168</x:v>
      </x:c>
      <x:c r="S26" s="3" t="n">
        <x:v>4132712</x:v>
      </x:c>
      <x:c r="T26" s="2" t="str">
        <x:v>4/3/4</x:v>
      </x:c>
      <x:c r="U26" s="2" t="str">
        <x:v>results/formal_composition/C_free_compressed_r0_hot90_N4096_B64_seed105.json</x:v>
      </x:c>
      <x:c r="V26" s="2" t="str">
        <x:v>710f9ca3c2f2a6177efd213af591200695e0e4245bd13911f965672291a07172</x:v>
      </x:c>
    </x:row>
    <x:row r="27" ht="22" customHeight="1">
      <x:c r="A27" s="2" t="str">
        <x:v>C_free_compressed_r0_scan_N4096_B64_seed101</x:v>
      </x:c>
      <x:c r="B27" s="2" t="str">
        <x:v>free_compressed</x:v>
      </x:c>
      <x:c r="C27" s="2" t="str">
        <x:v>scan</x:v>
      </x:c>
      <x:c r="D27" s="2" t="str">
        <x:v>r0</x:v>
      </x:c>
      <x:c r="E27" s="3" t="n">
        <x:v>101</x:v>
      </x:c>
      <x:c r="F27" s="3" t="n">
        <x:v>4096</x:v>
      </x:c>
      <x:c r="G27" s="3" t="n">
        <x:v>64</x:v>
      </x:c>
      <x:c r="H27" s="3" t="n">
        <x:v>4096</x:v>
      </x:c>
      <x:c r="I27" s="3" t="n">
        <x:v>82822992</x:v>
      </x:c>
      <x:c r="J27" s="3" t="n">
        <x:v>36114940</x:v>
      </x:c>
      <x:c r="K27" s="3" t="n">
        <x:v>46708052</x:v>
      </x:c>
      <x:c r="L27" s="3" t="n">
        <x:v>16926</x:v>
      </x:c>
      <x:c r="M27" s="3" t="n">
        <x:v>7988880</x:v>
      </x:c>
      <x:c r="N27" s="3" t="n">
        <x:v>11214080</x:v>
      </x:c>
      <x:c r="O27" s="3" t="n">
        <x:v>9648180</x:v>
      </x:c>
      <x:c r="P27" s="3" t="n">
        <x:v>9648180</x:v>
      </x:c>
      <x:c r="Q27" s="3" t="n">
        <x:v>17868544</x:v>
      </x:c>
      <x:c r="R27" s="3" t="n">
        <x:v>24542144</x:v>
      </x:c>
      <x:c r="S27" s="3" t="n">
        <x:v>1912984</x:v>
      </x:c>
      <x:c r="T27" s="2" t="str">
        <x:v>4/3/4</x:v>
      </x:c>
      <x:c r="U27" s="2" t="str">
        <x:v>results/formal_composition/C_free_compressed_r0_scan_N4096_B64_seed101.json</x:v>
      </x:c>
      <x:c r="V27" s="2" t="str">
        <x:v>46c7585eef857ec54e326e9197d3ebbb3b732cbd2d71369b252b22de7c21c46e</x:v>
      </x:c>
    </x:row>
    <x:row r="28" ht="22" customHeight="1">
      <x:c r="A28" s="2" t="str">
        <x:v>C_free_compressed_r0_scan_N4096_B64_seed102</x:v>
      </x:c>
      <x:c r="B28" s="2" t="str">
        <x:v>free_compressed</x:v>
      </x:c>
      <x:c r="C28" s="2" t="str">
        <x:v>scan</x:v>
      </x:c>
      <x:c r="D28" s="2" t="str">
        <x:v>r0</x:v>
      </x:c>
      <x:c r="E28" s="3" t="n">
        <x:v>102</x:v>
      </x:c>
      <x:c r="F28" s="3" t="n">
        <x:v>4096</x:v>
      </x:c>
      <x:c r="G28" s="3" t="n">
        <x:v>64</x:v>
      </x:c>
      <x:c r="H28" s="3" t="n">
        <x:v>4096</x:v>
      </x:c>
      <x:c r="I28" s="3" t="n">
        <x:v>82681792</x:v>
      </x:c>
      <x:c r="J28" s="3" t="n">
        <x:v>36047196</x:v>
      </x:c>
      <x:c r="K28" s="3" t="n">
        <x:v>46634596</x:v>
      </x:c>
      <x:c r="L28" s="3" t="n">
        <x:v>16926</x:v>
      </x:c>
      <x:c r="M28" s="3" t="n">
        <x:v>7971840</x:v>
      </x:c>
      <x:c r="N28" s="3" t="n">
        <x:v>11201920</x:v>
      </x:c>
      <x:c r="O28" s="3" t="n">
        <x:v>9616356</x:v>
      </x:c>
      <x:c r="P28" s="3" t="n">
        <x:v>9616356</x:v>
      </x:c>
      <x:c r="Q28" s="3" t="n">
        <x:v>17849664</x:v>
      </x:c>
      <x:c r="R28" s="3" t="n">
        <x:v>24513920</x:v>
      </x:c>
      <x:c r="S28" s="3" t="n">
        <x:v>1911736</x:v>
      </x:c>
      <x:c r="T28" s="2" t="str">
        <x:v>4/3/4</x:v>
      </x:c>
      <x:c r="U28" s="2" t="str">
        <x:v>results/formal_composition/C_free_compressed_r0_scan_N4096_B64_seed102.json</x:v>
      </x:c>
      <x:c r="V28" s="2" t="str">
        <x:v>ac381b7f6cf571198c33a00621617caf5466e7d409c263d28af8cf67ffd950ef</x:v>
      </x:c>
    </x:row>
    <x:row r="29" ht="22" customHeight="1">
      <x:c r="A29" s="2" t="str">
        <x:v>C_free_compressed_r0_scan_N4096_B64_seed103</x:v>
      </x:c>
      <x:c r="B29" s="2" t="str">
        <x:v>free_compressed</x:v>
      </x:c>
      <x:c r="C29" s="2" t="str">
        <x:v>scan</x:v>
      </x:c>
      <x:c r="D29" s="2" t="str">
        <x:v>r0</x:v>
      </x:c>
      <x:c r="E29" s="3" t="n">
        <x:v>103</x:v>
      </x:c>
      <x:c r="F29" s="3" t="n">
        <x:v>4096</x:v>
      </x:c>
      <x:c r="G29" s="3" t="n">
        <x:v>64</x:v>
      </x:c>
      <x:c r="H29" s="3" t="n">
        <x:v>4096</x:v>
      </x:c>
      <x:c r="I29" s="3" t="n">
        <x:v>82874256</x:v>
      </x:c>
      <x:c r="J29" s="3" t="n">
        <x:v>36136628</x:v>
      </x:c>
      <x:c r="K29" s="3" t="n">
        <x:v>46737628</x:v>
      </x:c>
      <x:c r="L29" s="3" t="n">
        <x:v>16926</x:v>
      </x:c>
      <x:c r="M29" s="3" t="n">
        <x:v>7994320</x:v>
      </x:c>
      <x:c r="N29" s="3" t="n">
        <x:v>11223040</x:v>
      </x:c>
      <x:c r="O29" s="3" t="n">
        <x:v>9653484</x:v>
      </x:c>
      <x:c r="P29" s="3" t="n">
        <x:v>9653484</x:v>
      </x:c>
      <x:c r="Q29" s="3" t="n">
        <x:v>17879488</x:v>
      </x:c>
      <x:c r="R29" s="3" t="n">
        <x:v>24557248</x:v>
      </x:c>
      <x:c r="S29" s="3" t="n">
        <x:v>1913192</x:v>
      </x:c>
      <x:c r="T29" s="2" t="str">
        <x:v>4/3/4</x:v>
      </x:c>
      <x:c r="U29" s="2" t="str">
        <x:v>results/formal_composition/C_free_compressed_r0_scan_N4096_B64_seed103.json</x:v>
      </x:c>
      <x:c r="V29" s="2" t="str">
        <x:v>59fd516e1143e75c3a9ce32d6564ae6b020fd0e7e5385017a468363f07432b25</x:v>
      </x:c>
    </x:row>
    <x:row r="30" ht="22" customHeight="1">
      <x:c r="A30" s="2" t="str">
        <x:v>C_free_compressed_r0_scan_N4096_B64_seed104</x:v>
      </x:c>
      <x:c r="B30" s="2" t="str">
        <x:v>free_compressed</x:v>
      </x:c>
      <x:c r="C30" s="2" t="str">
        <x:v>scan</x:v>
      </x:c>
      <x:c r="D30" s="2" t="str">
        <x:v>r0</x:v>
      </x:c>
      <x:c r="E30" s="3" t="n">
        <x:v>104</x:v>
      </x:c>
      <x:c r="F30" s="3" t="n">
        <x:v>4096</x:v>
      </x:c>
      <x:c r="G30" s="3" t="n">
        <x:v>64</x:v>
      </x:c>
      <x:c r="H30" s="3" t="n">
        <x:v>4096</x:v>
      </x:c>
      <x:c r="I30" s="3" t="n">
        <x:v>82709024</x:v>
      </x:c>
      <x:c r="J30" s="3" t="n">
        <x:v>36090192</x:v>
      </x:c>
      <x:c r="K30" s="3" t="n">
        <x:v>46618832</x:v>
      </x:c>
      <x:c r="L30" s="3" t="n">
        <x:v>16926</x:v>
      </x:c>
      <x:c r="M30" s="3" t="n">
        <x:v>7973760</x:v>
      </x:c>
      <x:c r="N30" s="3" t="n">
        <x:v>11183360</x:v>
      </x:c>
      <x:c r="O30" s="3" t="n">
        <x:v>9639000</x:v>
      </x:c>
      <x:c r="P30" s="3" t="n">
        <x:v>9639000</x:v>
      </x:c>
      <x:c r="Q30" s="3" t="n">
        <x:v>17868096</x:v>
      </x:c>
      <x:c r="R30" s="3" t="n">
        <x:v>24493184</x:v>
      </x:c>
      <x:c r="S30" s="3" t="n">
        <x:v>1912624</x:v>
      </x:c>
      <x:c r="T30" s="2" t="str">
        <x:v>4/3/4</x:v>
      </x:c>
      <x:c r="U30" s="2" t="str">
        <x:v>results/formal_composition/C_free_compressed_r0_scan_N4096_B64_seed104.json</x:v>
      </x:c>
      <x:c r="V30" s="2" t="str">
        <x:v>83f9e05efdcb2ae6fa3d33aadb8db6858d77183796a8d3c77ecfc9f507ecfcf1</x:v>
      </x:c>
    </x:row>
    <x:row r="31" ht="22" customHeight="1">
      <x:c r="A31" s="2" t="str">
        <x:v>C_free_compressed_r0_scan_N4096_B64_seed105</x:v>
      </x:c>
      <x:c r="B31" s="2" t="str">
        <x:v>free_compressed</x:v>
      </x:c>
      <x:c r="C31" s="2" t="str">
        <x:v>scan</x:v>
      </x:c>
      <x:c r="D31" s="2" t="str">
        <x:v>r0</x:v>
      </x:c>
      <x:c r="E31" s="3" t="n">
        <x:v>105</x:v>
      </x:c>
      <x:c r="F31" s="3" t="n">
        <x:v>4096</x:v>
      </x:c>
      <x:c r="G31" s="3" t="n">
        <x:v>64</x:v>
      </x:c>
      <x:c r="H31" s="3" t="n">
        <x:v>4096</x:v>
      </x:c>
      <x:c r="I31" s="3" t="n">
        <x:v>82796640</x:v>
      </x:c>
      <x:c r="J31" s="3" t="n">
        <x:v>36126156</x:v>
      </x:c>
      <x:c r="K31" s="3" t="n">
        <x:v>46670484</x:v>
      </x:c>
      <x:c r="L31" s="3" t="n">
        <x:v>16926</x:v>
      </x:c>
      <x:c r="M31" s="3" t="n">
        <x:v>7984480</x:v>
      </x:c>
      <x:c r="N31" s="3" t="n">
        <x:v>11195520</x:v>
      </x:c>
      <x:c r="O31" s="3" t="n">
        <x:v>9654708</x:v>
      </x:c>
      <x:c r="P31" s="3" t="n">
        <x:v>9654708</x:v>
      </x:c>
      <x:c r="Q31" s="3" t="n">
        <x:v>17877632</x:v>
      </x:c>
      <x:c r="R31" s="3" t="n">
        <x:v>24516352</x:v>
      </x:c>
      <x:c r="S31" s="3" t="n">
        <x:v>1913240</x:v>
      </x:c>
      <x:c r="T31" s="2" t="str">
        <x:v>4/3/4</x:v>
      </x:c>
      <x:c r="U31" s="2" t="str">
        <x:v>results/formal_composition/C_free_compressed_r0_scan_N4096_B64_seed105.json</x:v>
      </x:c>
      <x:c r="V31" s="2" t="str">
        <x:v>f676dee7ad8d3aa1f7d9d0924422c2d988ff5fe544bfb56c3a9e18f75d454664</x:v>
      </x:c>
    </x:row>
    <x:row r="32" ht="22" customHeight="1">
      <x:c r="A32" s="2" t="str">
        <x:v>C_free_compressed_r0_uniform_N4096_B64_seed101</x:v>
      </x:c>
      <x:c r="B32" s="2" t="str">
        <x:v>free_compressed</x:v>
      </x:c>
      <x:c r="C32" s="2" t="str">
        <x:v>uniform</x:v>
      </x:c>
      <x:c r="D32" s="2" t="str">
        <x:v>r0</x:v>
      </x:c>
      <x:c r="E32" s="3" t="n">
        <x:v>101</x:v>
      </x:c>
      <x:c r="F32" s="3" t="n">
        <x:v>4096</x:v>
      </x:c>
      <x:c r="G32" s="3" t="n">
        <x:v>64</x:v>
      </x:c>
      <x:c r="H32" s="3" t="n">
        <x:v>4096</x:v>
      </x:c>
      <x:c r="I32" s="3" t="n">
        <x:v>188536752</x:v>
      </x:c>
      <x:c r="J32" s="3" t="n">
        <x:v>82152088</x:v>
      </x:c>
      <x:c r="K32" s="3" t="n">
        <x:v>106384664</x:v>
      </x:c>
      <x:c r="L32" s="3" t="n">
        <x:v>38463</x:v>
      </x:c>
      <x:c r="M32" s="3" t="n">
        <x:v>18194560</x:v>
      </x:c>
      <x:c r="N32" s="3" t="n">
        <x:v>25569920</x:v>
      </x:c>
      <x:c r="O32" s="3" t="n">
        <x:v>21944892</x:v>
      </x:c>
      <x:c r="P32" s="3" t="n">
        <x:v>21944892</x:v>
      </x:c>
      <x:c r="Q32" s="3" t="n">
        <x:v>40627968</x:v>
      </x:c>
      <x:c r="R32" s="3" t="n">
        <x:v>55906624</x:v>
      </x:c>
      <x:c r="S32" s="3" t="n">
        <x:v>4347896</x:v>
      </x:c>
      <x:c r="T32" s="2" t="str">
        <x:v>4/3/4</x:v>
      </x:c>
      <x:c r="U32" s="2" t="str">
        <x:v>results/formal_composition/C_free_compressed_r0_uniform_N4096_B64_seed101.json</x:v>
      </x:c>
      <x:c r="V32" s="2" t="str">
        <x:v>64de0b37456a20cce37029fe9c1725101af88b0bd36d7e80b3faefb22a82f927</x:v>
      </x:c>
    </x:row>
    <x:row r="33" ht="22" customHeight="1">
      <x:c r="A33" s="2" t="str">
        <x:v>C_free_compressed_r0_uniform_N4096_B64_seed102</x:v>
      </x:c>
      <x:c r="B33" s="2" t="str">
        <x:v>free_compressed</x:v>
      </x:c>
      <x:c r="C33" s="2" t="str">
        <x:v>uniform</x:v>
      </x:c>
      <x:c r="D33" s="2" t="str">
        <x:v>r0</x:v>
      </x:c>
      <x:c r="E33" s="3" t="n">
        <x:v>102</x:v>
      </x:c>
      <x:c r="F33" s="3" t="n">
        <x:v>4096</x:v>
      </x:c>
      <x:c r="G33" s="3" t="n">
        <x:v>64</x:v>
      </x:c>
      <x:c r="H33" s="3" t="n">
        <x:v>4096</x:v>
      </x:c>
      <x:c r="I33" s="3" t="n">
        <x:v>188352608</x:v>
      </x:c>
      <x:c r="J33" s="3" t="n">
        <x:v>82057968</x:v>
      </x:c>
      <x:c r="K33" s="3" t="n">
        <x:v>106294640</x:v>
      </x:c>
      <x:c r="L33" s="3" t="n">
        <x:v>38451</x:v>
      </x:c>
      <x:c r="M33" s="3" t="n">
        <x:v>18174320</x:v>
      </x:c>
      <x:c r="N33" s="3" t="n">
        <x:v>25556480</x:v>
      </x:c>
      <x:c r="O33" s="3" t="n">
        <x:v>21906132</x:v>
      </x:c>
      <x:c r="P33" s="3" t="n">
        <x:v>21906132</x:v>
      </x:c>
      <x:c r="Q33" s="3" t="n">
        <x:v>40593280</x:v>
      </x:c>
      <x:c r="R33" s="3" t="n">
        <x:v>55870976</x:v>
      </x:c>
      <x:c r="S33" s="3" t="n">
        <x:v>4345288</x:v>
      </x:c>
      <x:c r="T33" s="2" t="str">
        <x:v>4/3/4</x:v>
      </x:c>
      <x:c r="U33" s="2" t="str">
        <x:v>results/formal_composition/C_free_compressed_r0_uniform_N4096_B64_seed102.json</x:v>
      </x:c>
      <x:c r="V33" s="2" t="str">
        <x:v>eae627c48077b4613b65e9246d09746000adc92a231d6e53881ef627d6cf38d6</x:v>
      </x:c>
    </x:row>
    <x:row r="34" ht="22" customHeight="1">
      <x:c r="A34" s="2" t="str">
        <x:v>C_free_compressed_r0_uniform_N4096_B64_seed103</x:v>
      </x:c>
      <x:c r="B34" s="2" t="str">
        <x:v>free_compressed</x:v>
      </x:c>
      <x:c r="C34" s="2" t="str">
        <x:v>uniform</x:v>
      </x:c>
      <x:c r="D34" s="2" t="str">
        <x:v>r0</x:v>
      </x:c>
      <x:c r="E34" s="3" t="n">
        <x:v>103</x:v>
      </x:c>
      <x:c r="F34" s="3" t="n">
        <x:v>4096</x:v>
      </x:c>
      <x:c r="G34" s="3" t="n">
        <x:v>64</x:v>
      </x:c>
      <x:c r="H34" s="3" t="n">
        <x:v>4096</x:v>
      </x:c>
      <x:c r="I34" s="3" t="n">
        <x:v>187777680</x:v>
      </x:c>
      <x:c r="J34" s="3" t="n">
        <x:v>81806372</x:v>
      </x:c>
      <x:c r="K34" s="3" t="n">
        <x:v>105971308</x:v>
      </x:c>
      <x:c r="L34" s="3" t="n">
        <x:v>38301</x:v>
      </x:c>
      <x:c r="M34" s="3" t="n">
        <x:v>18121440</x:v>
      </x:c>
      <x:c r="N34" s="3" t="n">
        <x:v>25480960</x:v>
      </x:c>
      <x:c r="O34" s="3" t="n">
        <x:v>21843504</x:v>
      </x:c>
      <x:c r="P34" s="3" t="n">
        <x:v>21843504</x:v>
      </x:c>
      <x:c r="Q34" s="3" t="n">
        <x:v>40462592</x:v>
      </x:c>
      <x:c r="R34" s="3" t="n">
        <x:v>55696448</x:v>
      </x:c>
      <x:c r="S34" s="3" t="n">
        <x:v>4329232</x:v>
      </x:c>
      <x:c r="T34" s="2" t="str">
        <x:v>4/3/4</x:v>
      </x:c>
      <x:c r="U34" s="2" t="str">
        <x:v>results/formal_composition/C_free_compressed_r0_uniform_N4096_B64_seed103.json</x:v>
      </x:c>
      <x:c r="V34" s="2" t="str">
        <x:v>0bf8570a212502668a2aba5efc07db9d476c19b7f71931712aca997594909ed2</x:v>
      </x:c>
    </x:row>
    <x:row r="35" ht="22" customHeight="1">
      <x:c r="A35" s="2" t="str">
        <x:v>C_free_compressed_r0_uniform_N4096_B64_seed104</x:v>
      </x:c>
      <x:c r="B35" s="2" t="str">
        <x:v>free_compressed</x:v>
      </x:c>
      <x:c r="C35" s="2" t="str">
        <x:v>uniform</x:v>
      </x:c>
      <x:c r="D35" s="2" t="str">
        <x:v>r0</x:v>
      </x:c>
      <x:c r="E35" s="3" t="n">
        <x:v>104</x:v>
      </x:c>
      <x:c r="F35" s="3" t="n">
        <x:v>4096</x:v>
      </x:c>
      <x:c r="G35" s="3" t="n">
        <x:v>64</x:v>
      </x:c>
      <x:c r="H35" s="3" t="n">
        <x:v>4096</x:v>
      </x:c>
      <x:c r="I35" s="3" t="n">
        <x:v>187324992</x:v>
      </x:c>
      <x:c r="J35" s="3" t="n">
        <x:v>81578496</x:v>
      </x:c>
      <x:c r="K35" s="3" t="n">
        <x:v>105746496</x:v>
      </x:c>
      <x:c r="L35" s="3" t="n">
        <x:v>38184</x:v>
      </x:c>
      <x:c r="M35" s="3" t="n">
        <x:v>18083200</x:v>
      </x:c>
      <x:c r="N35" s="3" t="n">
        <x:v>25436160</x:v>
      </x:c>
      <x:c r="O35" s="3" t="n">
        <x:v>21788832</x:v>
      </x:c>
      <x:c r="P35" s="3" t="n">
        <x:v>21788832</x:v>
      </x:c>
      <x:c r="Q35" s="3" t="n">
        <x:v>40331840</x:v>
      </x:c>
      <x:c r="R35" s="3" t="n">
        <x:v>55579648</x:v>
      </x:c>
      <x:c r="S35" s="3" t="n">
        <x:v>4316480</x:v>
      </x:c>
      <x:c r="T35" s="2" t="str">
        <x:v>4/3/4</x:v>
      </x:c>
      <x:c r="U35" s="2" t="str">
        <x:v>results/formal_composition/C_free_compressed_r0_uniform_N4096_B64_seed104.json</x:v>
      </x:c>
      <x:c r="V35" s="2" t="str">
        <x:v>a55efa808b5fb5d04cf6f59be8c06ffefd29d333e9ae10ed25f0e1d1547b1aba</x:v>
      </x:c>
    </x:row>
    <x:row r="36" ht="22" customHeight="1">
      <x:c r="A36" s="2" t="str">
        <x:v>C_free_compressed_r0_uniform_N4096_B64_seed105</x:v>
      </x:c>
      <x:c r="B36" s="2" t="str">
        <x:v>free_compressed</x:v>
      </x:c>
      <x:c r="C36" s="2" t="str">
        <x:v>uniform</x:v>
      </x:c>
      <x:c r="D36" s="2" t="str">
        <x:v>r0</x:v>
      </x:c>
      <x:c r="E36" s="3" t="n">
        <x:v>105</x:v>
      </x:c>
      <x:c r="F36" s="3" t="n">
        <x:v>4096</x:v>
      </x:c>
      <x:c r="G36" s="3" t="n">
        <x:v>64</x:v>
      </x:c>
      <x:c r="H36" s="3" t="n">
        <x:v>4096</x:v>
      </x:c>
      <x:c r="I36" s="3" t="n">
        <x:v>187818592</x:v>
      </x:c>
      <x:c r="J36" s="3" t="n">
        <x:v>81859620</x:v>
      </x:c>
      <x:c r="K36" s="3" t="n">
        <x:v>105958972</x:v>
      </x:c>
      <x:c r="L36" s="3" t="n">
        <x:v>38373</x:v>
      </x:c>
      <x:c r="M36" s="3" t="n">
        <x:v>18118320</x:v>
      </x:c>
      <x:c r="N36" s="3" t="n">
        <x:v>25459840</x:v>
      </x:c>
      <x:c r="O36" s="3" t="n">
        <x:v>21855744</x:v>
      </x:c>
      <x:c r="P36" s="3" t="n">
        <x:v>21855744</x:v>
      </x:c>
      <x:c r="Q36" s="3" t="n">
        <x:v>40504128</x:v>
      </x:c>
      <x:c r="R36" s="3" t="n">
        <x:v>55688576</x:v>
      </x:c>
      <x:c r="S36" s="3" t="n">
        <x:v>4336240</x:v>
      </x:c>
      <x:c r="T36" s="2" t="str">
        <x:v>4/3/4</x:v>
      </x:c>
      <x:c r="U36" s="2" t="str">
        <x:v>results/formal_composition/C_free_compressed_r0_uniform_N4096_B64_seed105.json</x:v>
      </x:c>
      <x:c r="V36" s="2" t="str">
        <x:v>a8988699fc8c9dbaa56c4bcd38e60e6ead597019c5f4e0846c74bcfebf1dc97e</x:v>
      </x:c>
    </x:row>
    <x:row r="37" ht="22" customHeight="1">
      <x:c r="A37" s="2" t="str">
        <x:v>C_free_compressed_r0_zipf09_N4096_B64_seed101</x:v>
      </x:c>
      <x:c r="B37" s="2" t="str">
        <x:v>free_compressed</x:v>
      </x:c>
      <x:c r="C37" s="2" t="str">
        <x:v>zipf09</x:v>
      </x:c>
      <x:c r="D37" s="2" t="str">
        <x:v>r0</x:v>
      </x:c>
      <x:c r="E37" s="3" t="n">
        <x:v>101</x:v>
      </x:c>
      <x:c r="F37" s="3" t="n">
        <x:v>4096</x:v>
      </x:c>
      <x:c r="G37" s="3" t="n">
        <x:v>64</x:v>
      </x:c>
      <x:c r="H37" s="3" t="n">
        <x:v>4096</x:v>
      </x:c>
      <x:c r="I37" s="3" t="n">
        <x:v>183909152</x:v>
      </x:c>
      <x:c r="J37" s="3" t="n">
        <x:v>80097820</x:v>
      </x:c>
      <x:c r="K37" s="3" t="n">
        <x:v>103811332</x:v>
      </x:c>
      <x:c r="L37" s="3" t="n">
        <x:v>37500</x:v>
      </x:c>
      <x:c r="M37" s="3" t="n">
        <x:v>17751680</x:v>
      </x:c>
      <x:c r="N37" s="3" t="n">
        <x:v>24968320</x:v>
      </x:c>
      <x:c r="O37" s="3" t="n">
        <x:v>21390828</x:v>
      </x:c>
      <x:c r="P37" s="3" t="n">
        <x:v>21390828</x:v>
      </x:c>
      <x:c r="Q37" s="3" t="n">
        <x:v>39605312</x:v>
      </x:c>
      <x:c r="R37" s="3" t="n">
        <x:v>54563328</x:v>
      </x:c>
      <x:c r="S37" s="3" t="n">
        <x:v>4238856</x:v>
      </x:c>
      <x:c r="T37" s="2" t="str">
        <x:v>4/3/4</x:v>
      </x:c>
      <x:c r="U37" s="2" t="str">
        <x:v>results/formal_composition/C_free_compressed_r0_zipf09_N4096_B64_seed101.json</x:v>
      </x:c>
      <x:c r="V37" s="2" t="str">
        <x:v>b82b7fc85157c2528d43813ca23de2085725c7b1a28359a983cff282a8e23eff</x:v>
      </x:c>
    </x:row>
    <x:row r="38" ht="22" customHeight="1">
      <x:c r="A38" s="2" t="str">
        <x:v>C_free_compressed_r0_zipf09_N4096_B64_seed102</x:v>
      </x:c>
      <x:c r="B38" s="2" t="str">
        <x:v>free_compressed</x:v>
      </x:c>
      <x:c r="C38" s="2" t="str">
        <x:v>zipf09</x:v>
      </x:c>
      <x:c r="D38" s="2" t="str">
        <x:v>r0</x:v>
      </x:c>
      <x:c r="E38" s="3" t="n">
        <x:v>102</x:v>
      </x:c>
      <x:c r="F38" s="3" t="n">
        <x:v>4096</x:v>
      </x:c>
      <x:c r="G38" s="3" t="n">
        <x:v>64</x:v>
      </x:c>
      <x:c r="H38" s="3" t="n">
        <x:v>4096</x:v>
      </x:c>
      <x:c r="I38" s="3" t="n">
        <x:v>184383344</x:v>
      </x:c>
      <x:c r="J38" s="3" t="n">
        <x:v>80323852</x:v>
      </x:c>
      <x:c r="K38" s="3" t="n">
        <x:v>104059492</x:v>
      </x:c>
      <x:c r="L38" s="3" t="n">
        <x:v>37632</x:v>
      </x:c>
      <x:c r="M38" s="3" t="n">
        <x:v>17791440</x:v>
      </x:c>
      <x:c r="N38" s="3" t="n">
        <x:v>25024000</x:v>
      </x:c>
      <x:c r="O38" s="3" t="n">
        <x:v>21438972</x:v>
      </x:c>
      <x:c r="P38" s="3" t="n">
        <x:v>21438972</x:v>
      </x:c>
      <x:c r="Q38" s="3" t="n">
        <x:v>39738688</x:v>
      </x:c>
      <x:c r="R38" s="3" t="n">
        <x:v>54698560</x:v>
      </x:c>
      <x:c r="S38" s="3" t="n">
        <x:v>4252712</x:v>
      </x:c>
      <x:c r="T38" s="2" t="str">
        <x:v>4/3/4</x:v>
      </x:c>
      <x:c r="U38" s="2" t="str">
        <x:v>results/formal_composition/C_free_compressed_r0_zipf09_N4096_B64_seed102.json</x:v>
      </x:c>
      <x:c r="V38" s="2" t="str">
        <x:v>5401dae542e4a72293e9529fc9d3fe1af94cac2a85a0101985073ffd626d14f8</x:v>
      </x:c>
    </x:row>
    <x:row r="39" ht="22" customHeight="1">
      <x:c r="A39" s="2" t="str">
        <x:v>C_free_compressed_r0_zipf09_N4096_B64_seed103</x:v>
      </x:c>
      <x:c r="B39" s="2" t="str">
        <x:v>free_compressed</x:v>
      </x:c>
      <x:c r="C39" s="2" t="str">
        <x:v>zipf09</x:v>
      </x:c>
      <x:c r="D39" s="2" t="str">
        <x:v>r0</x:v>
      </x:c>
      <x:c r="E39" s="3" t="n">
        <x:v>103</x:v>
      </x:c>
      <x:c r="F39" s="3" t="n">
        <x:v>4096</x:v>
      </x:c>
      <x:c r="G39" s="3" t="n">
        <x:v>64</x:v>
      </x:c>
      <x:c r="H39" s="3" t="n">
        <x:v>4096</x:v>
      </x:c>
      <x:c r="I39" s="3" t="n">
        <x:v>183949808</x:v>
      </x:c>
      <x:c r="J39" s="3" t="n">
        <x:v>80158596</x:v>
      </x:c>
      <x:c r="K39" s="3" t="n">
        <x:v>103791212</x:v>
      </x:c>
      <x:c r="L39" s="3" t="n">
        <x:v>37500</x:v>
      </x:c>
      <x:c r="M39" s="3" t="n">
        <x:v>17753680</x:v>
      </x:c>
      <x:c r="N39" s="3" t="n">
        <x:v>24945920</x:v>
      </x:c>
      <x:c r="O39" s="3" t="n">
        <x:v>21417348</x:v>
      </x:c>
      <x:c r="P39" s="3" t="n">
        <x:v>21417348</x:v>
      </x:c>
      <x:c r="Q39" s="3" t="n">
        <x:v>39637568</x:v>
      </x:c>
      <x:c r="R39" s="3" t="n">
        <x:v>54538048</x:v>
      </x:c>
      <x:c r="S39" s="3" t="n">
        <x:v>4239896</x:v>
      </x:c>
      <x:c r="T39" s="2" t="str">
        <x:v>4/3/4</x:v>
      </x:c>
      <x:c r="U39" s="2" t="str">
        <x:v>results/formal_composition/C_free_compressed_r0_zipf09_N4096_B64_seed103.json</x:v>
      </x:c>
      <x:c r="V39" s="2" t="str">
        <x:v>939fa724f3da5b956edd095c32765d6519872e3863851d3c4f7ea7c4a4c2c622</x:v>
      </x:c>
    </x:row>
    <x:row r="40" ht="22" customHeight="1">
      <x:c r="A40" s="2" t="str">
        <x:v>C_free_compressed_r0_zipf09_N4096_B64_seed104</x:v>
      </x:c>
      <x:c r="B40" s="2" t="str">
        <x:v>free_compressed</x:v>
      </x:c>
      <x:c r="C40" s="2" t="str">
        <x:v>zipf09</x:v>
      </x:c>
      <x:c r="D40" s="2" t="str">
        <x:v>r0</x:v>
      </x:c>
      <x:c r="E40" s="3" t="n">
        <x:v>104</x:v>
      </x:c>
      <x:c r="F40" s="3" t="n">
        <x:v>4096</x:v>
      </x:c>
      <x:c r="G40" s="3" t="n">
        <x:v>64</x:v>
      </x:c>
      <x:c r="H40" s="3" t="n">
        <x:v>4096</x:v>
      </x:c>
      <x:c r="I40" s="3" t="n">
        <x:v>182916784</x:v>
      </x:c>
      <x:c r="J40" s="3" t="n">
        <x:v>79706080</x:v>
      </x:c>
      <x:c r="K40" s="3" t="n">
        <x:v>103210704</x:v>
      </x:c>
      <x:c r="L40" s="3" t="n">
        <x:v>37323</x:v>
      </x:c>
      <x:c r="M40" s="3" t="n">
        <x:v>17650560</x:v>
      </x:c>
      <x:c r="N40" s="3" t="n">
        <x:v>24808320</x:v>
      </x:c>
      <x:c r="O40" s="3" t="n">
        <x:v>21285972</x:v>
      </x:c>
      <x:c r="P40" s="3" t="n">
        <x:v>21285972</x:v>
      </x:c>
      <x:c r="Q40" s="3" t="n">
        <x:v>39425920</x:v>
      </x:c>
      <x:c r="R40" s="3" t="n">
        <x:v>54241344</x:v>
      </x:c>
      <x:c r="S40" s="3" t="n">
        <x:v>4218696</x:v>
      </x:c>
      <x:c r="T40" s="2" t="str">
        <x:v>4/3/4</x:v>
      </x:c>
      <x:c r="U40" s="2" t="str">
        <x:v>results/formal_composition/C_free_compressed_r0_zipf09_N4096_B64_seed104.json</x:v>
      </x:c>
      <x:c r="V40" s="2" t="str">
        <x:v>1f0da43882ef958fd167e05c581534f7e5a61c942a354d6530abca9ff5f22183</x:v>
      </x:c>
    </x:row>
    <x:row r="41" ht="22" customHeight="1">
      <x:c r="A41" s="2" t="str">
        <x:v>C_free_compressed_r0_zipf09_N4096_B64_seed105</x:v>
      </x:c>
      <x:c r="B41" s="2" t="str">
        <x:v>free_compressed</x:v>
      </x:c>
      <x:c r="C41" s="2" t="str">
        <x:v>zipf09</x:v>
      </x:c>
      <x:c r="D41" s="2" t="str">
        <x:v>r0</x:v>
      </x:c>
      <x:c r="E41" s="3" t="n">
        <x:v>105</x:v>
      </x:c>
      <x:c r="F41" s="3" t="n">
        <x:v>4096</x:v>
      </x:c>
      <x:c r="G41" s="3" t="n">
        <x:v>64</x:v>
      </x:c>
      <x:c r="H41" s="3" t="n">
        <x:v>4096</x:v>
      </x:c>
      <x:c r="I41" s="3" t="n">
        <x:v>184059344</x:v>
      </x:c>
      <x:c r="J41" s="3" t="n">
        <x:v>80254756</x:v>
      </x:c>
      <x:c r="K41" s="3" t="n">
        <x:v>103804588</x:v>
      </x:c>
      <x:c r="L41" s="3" t="n">
        <x:v>37563</x:v>
      </x:c>
      <x:c r="M41" s="3" t="n">
        <x:v>17757760</x:v>
      </x:c>
      <x:c r="N41" s="3" t="n">
        <x:v>24928000</x:v>
      </x:c>
      <x:c r="O41" s="3" t="n">
        <x:v>21444888</x:v>
      </x:c>
      <x:c r="P41" s="3" t="n">
        <x:v>21444888</x:v>
      </x:c>
      <x:c r="Q41" s="3" t="n">
        <x:v>39699840</x:v>
      </x:c>
      <x:c r="R41" s="3" t="n">
        <x:v>54537280</x:v>
      </x:c>
      <x:c r="S41" s="3" t="n">
        <x:v>4246688</x:v>
      </x:c>
      <x:c r="T41" s="2" t="str">
        <x:v>4/3/4</x:v>
      </x:c>
      <x:c r="U41" s="2" t="str">
        <x:v>results/formal_composition/C_free_compressed_r0_zipf09_N4096_B64_seed105.json</x:v>
      </x:c>
      <x:c r="V41" s="2" t="str">
        <x:v>905d5a667b78895d73f5b6a88de75c2efe0342450714158e3742a90bf46c1350</x:v>
      </x:c>
    </x:row>
    <x:row r="42" ht="22" customHeight="1">
      <x:c r="A42" s="2" t="str">
        <x:v>C_free_compressed_ring_hot90_N4096_B64_seed101</x:v>
      </x:c>
      <x:c r="B42" s="2" t="str">
        <x:v>free_compressed</x:v>
      </x:c>
      <x:c r="C42" s="2" t="str">
        <x:v>hot90</x:v>
      </x:c>
      <x:c r="D42" s="2" t="str">
        <x:v>ring</x:v>
      </x:c>
      <x:c r="E42" s="3" t="n">
        <x:v>101</x:v>
      </x:c>
      <x:c r="F42" s="3" t="n">
        <x:v>4096</x:v>
      </x:c>
      <x:c r="G42" s="3" t="n">
        <x:v>64</x:v>
      </x:c>
      <x:c r="H42" s="3" t="n">
        <x:v>4096</x:v>
      </x:c>
      <x:c r="I42" s="3" t="n">
        <x:v>237330528</x:v>
      </x:c>
      <x:c r="J42" s="3" t="n">
        <x:v>107664584</x:v>
      </x:c>
      <x:c r="K42" s="3" t="n">
        <x:v>129665944</x:v>
      </x:c>
      <x:c r="L42" s="3" t="n">
        <x:v>36573</x:v>
      </x:c>
      <x:c r="M42" s="3" t="n">
        <x:v>23746000</x:v>
      </x:c>
      <x:c r="N42" s="3" t="n">
        <x:v>29512960</x:v>
      </x:c>
      <x:c r="O42" s="3" t="n">
        <x:v>32330532</x:v>
      </x:c>
      <x:c r="P42" s="3" t="n">
        <x:v>32330532</x:v>
      </x:c>
      <x:c r="Q42" s="3" t="n">
        <x:v>50271424</x:v>
      </x:c>
      <x:c r="R42" s="3" t="n">
        <x:v>64555264</x:v>
      </x:c>
      <x:c r="S42" s="3" t="n">
        <x:v>4583816</x:v>
      </x:c>
      <x:c r="T42" s="2" t="str">
        <x:v>4/3/4</x:v>
      </x:c>
      <x:c r="U42" s="2" t="str">
        <x:v>results/formal_composition/C_free_compressed_ring_hot90_N4096_B64_seed101.json</x:v>
      </x:c>
      <x:c r="V42" s="2" t="str">
        <x:v>65e962f88db72138408cb6918ebd07bb905d308bbe00d23ab64f92cc7b069195</x:v>
      </x:c>
    </x:row>
    <x:row r="43" ht="22" customHeight="1">
      <x:c r="A43" s="2" t="str">
        <x:v>C_free_compressed_ring_hot90_N4096_B64_seed102</x:v>
      </x:c>
      <x:c r="B43" s="2" t="str">
        <x:v>free_compressed</x:v>
      </x:c>
      <x:c r="C43" s="2" t="str">
        <x:v>hot90</x:v>
      </x:c>
      <x:c r="D43" s="2" t="str">
        <x:v>ring</x:v>
      </x:c>
      <x:c r="E43" s="3" t="n">
        <x:v>102</x:v>
      </x:c>
      <x:c r="F43" s="3" t="n">
        <x:v>4096</x:v>
      </x:c>
      <x:c r="G43" s="3" t="n">
        <x:v>64</x:v>
      </x:c>
      <x:c r="H43" s="3" t="n">
        <x:v>4096</x:v>
      </x:c>
      <x:c r="I43" s="3" t="n">
        <x:v>237017984</x:v>
      </x:c>
      <x:c r="J43" s="3" t="n">
        <x:v>107581144</x:v>
      </x:c>
      <x:c r="K43" s="3" t="n">
        <x:v>129436840</x:v>
      </x:c>
      <x:c r="L43" s="3" t="n">
        <x:v>36555</x:v>
      </x:c>
      <x:c r="M43" s="3" t="n">
        <x:v>23709520</x:v>
      </x:c>
      <x:c r="N43" s="3" t="n">
        <x:v>29432320</x:v>
      </x:c>
      <x:c r="O43" s="3" t="n">
        <x:v>32314620</x:v>
      </x:c>
      <x:c r="P43" s="3" t="n">
        <x:v>32314620</x:v>
      </x:c>
      <x:c r="Q43" s="3" t="n">
        <x:v>50241024</x:v>
      </x:c>
      <x:c r="R43" s="3" t="n">
        <x:v>64424320</x:v>
      </x:c>
      <x:c r="S43" s="3" t="n">
        <x:v>4581560</x:v>
      </x:c>
      <x:c r="T43" s="2" t="str">
        <x:v>4/3/4</x:v>
      </x:c>
      <x:c r="U43" s="2" t="str">
        <x:v>results/formal_composition/C_free_compressed_ring_hot90_N4096_B64_seed102.json</x:v>
      </x:c>
      <x:c r="V43" s="2" t="str">
        <x:v>607aec9aeb4886934cf2bd4c5f569b9806f149eff9a44d1a244672bfe28f9b16</x:v>
      </x:c>
    </x:row>
    <x:row r="44" ht="22" customHeight="1">
      <x:c r="A44" s="2" t="str">
        <x:v>C_free_compressed_ring_hot90_N4096_B64_seed103</x:v>
      </x:c>
      <x:c r="B44" s="2" t="str">
        <x:v>free_compressed</x:v>
      </x:c>
      <x:c r="C44" s="2" t="str">
        <x:v>hot90</x:v>
      </x:c>
      <x:c r="D44" s="2" t="str">
        <x:v>ring</x:v>
      </x:c>
      <x:c r="E44" s="3" t="n">
        <x:v>103</x:v>
      </x:c>
      <x:c r="F44" s="3" t="n">
        <x:v>4096</x:v>
      </x:c>
      <x:c r="G44" s="3" t="n">
        <x:v>64</x:v>
      </x:c>
      <x:c r="H44" s="3" t="n">
        <x:v>4096</x:v>
      </x:c>
      <x:c r="I44" s="3" t="n">
        <x:v>237170336</x:v>
      </x:c>
      <x:c r="J44" s="3" t="n">
        <x:v>107675288</x:v>
      </x:c>
      <x:c r="K44" s="3" t="n">
        <x:v>129495048</x:v>
      </x:c>
      <x:c r="L44" s="3" t="n">
        <x:v>36591</x:v>
      </x:c>
      <x:c r="M44" s="3" t="n">
        <x:v>23722480</x:v>
      </x:c>
      <x:c r="N44" s="3" t="n">
        <x:v>29433600</x:v>
      </x:c>
      <x:c r="O44" s="3" t="n">
        <x:v>32346444</x:v>
      </x:c>
      <x:c r="P44" s="3" t="n">
        <x:v>32346444</x:v>
      </x:c>
      <x:c r="Q44" s="3" t="n">
        <x:v>50289088</x:v>
      </x:c>
      <x:c r="R44" s="3" t="n">
        <x:v>64446208</x:v>
      </x:c>
      <x:c r="S44" s="3" t="n">
        <x:v>4586072</x:v>
      </x:c>
      <x:c r="T44" s="2" t="str">
        <x:v>4/3/4</x:v>
      </x:c>
      <x:c r="U44" s="2" t="str">
        <x:v>results/formal_composition/C_free_compressed_ring_hot90_N4096_B64_seed103.json</x:v>
      </x:c>
      <x:c r="V44" s="2" t="str">
        <x:v>c53c59154e1fa29c4aa21b84e53a42f3ca04a470dd5f719adaf305e8edb11b6b</x:v>
      </x:c>
    </x:row>
    <x:row r="45" ht="22" customHeight="1">
      <x:c r="A45" s="2" t="str">
        <x:v>C_free_compressed_ring_hot90_N4096_B64_seed104</x:v>
      </x:c>
      <x:c r="B45" s="2" t="str">
        <x:v>free_compressed</x:v>
      </x:c>
      <x:c r="C45" s="2" t="str">
        <x:v>hot90</x:v>
      </x:c>
      <x:c r="D45" s="2" t="str">
        <x:v>ring</x:v>
      </x:c>
      <x:c r="E45" s="3" t="n">
        <x:v>104</x:v>
      </x:c>
      <x:c r="F45" s="3" t="n">
        <x:v>4096</x:v>
      </x:c>
      <x:c r="G45" s="3" t="n">
        <x:v>64</x:v>
      </x:c>
      <x:c r="H45" s="3" t="n">
        <x:v>4096</x:v>
      </x:c>
      <x:c r="I45" s="3" t="n">
        <x:v>238103264</x:v>
      </x:c>
      <x:c r="J45" s="3" t="n">
        <x:v>107952384</x:v>
      </x:c>
      <x:c r="K45" s="3" t="n">
        <x:v>130150880</x:v>
      </x:c>
      <x:c r="L45" s="3" t="n">
        <x:v>36660</x:v>
      </x:c>
      <x:c r="M45" s="3" t="n">
        <x:v>23828960</x:v>
      </x:c>
      <x:c r="N45" s="3" t="n">
        <x:v>29653760</x:v>
      </x:c>
      <x:c r="O45" s="3" t="n">
        <x:v>32407440</x:v>
      </x:c>
      <x:c r="P45" s="3" t="n">
        <x:v>32407440</x:v>
      </x:c>
      <x:c r="Q45" s="3" t="n">
        <x:v>50396224</x:v>
      </x:c>
      <x:c r="R45" s="3" t="n">
        <x:v>64814720</x:v>
      </x:c>
      <x:c r="S45" s="3" t="n">
        <x:v>4594720</x:v>
      </x:c>
      <x:c r="T45" s="2" t="str">
        <x:v>4/3/4</x:v>
      </x:c>
      <x:c r="U45" s="2" t="str">
        <x:v>results/formal_composition/C_free_compressed_ring_hot90_N4096_B64_seed104.json</x:v>
      </x:c>
      <x:c r="V45" s="2" t="str">
        <x:v>826b9a95cae6f57c37f00ff59b66afd59bbb92d9ce65f5ed388e6e8259fb3b48</x:v>
      </x:c>
    </x:row>
    <x:row r="46" ht="22" customHeight="1">
      <x:c r="A46" s="2" t="str">
        <x:v>C_free_compressed_ring_hot90_N4096_B64_seed105</x:v>
      </x:c>
      <x:c r="B46" s="2" t="str">
        <x:v>free_compressed</x:v>
      </x:c>
      <x:c r="C46" s="2" t="str">
        <x:v>hot90</x:v>
      </x:c>
      <x:c r="D46" s="2" t="str">
        <x:v>ring</x:v>
      </x:c>
      <x:c r="E46" s="3" t="n">
        <x:v>105</x:v>
      </x:c>
      <x:c r="F46" s="3" t="n">
        <x:v>4096</x:v>
      </x:c>
      <x:c r="G46" s="3" t="n">
        <x:v>64</x:v>
      </x:c>
      <x:c r="H46" s="3" t="n">
        <x:v>4096</x:v>
      </x:c>
      <x:c r="I46" s="3" t="n">
        <x:v>237253264</x:v>
      </x:c>
      <x:c r="J46" s="3" t="n">
        <x:v>107642456</x:v>
      </x:c>
      <x:c r="K46" s="3" t="n">
        <x:v>129610808</x:v>
      </x:c>
      <x:c r="L46" s="3" t="n">
        <x:v>36561</x:v>
      </x:c>
      <x:c r="M46" s="3" t="n">
        <x:v>23736320</x:v>
      </x:c>
      <x:c r="N46" s="3" t="n">
        <x:v>29498240</x:v>
      </x:c>
      <x:c r="O46" s="3" t="n">
        <x:v>32319924</x:v>
      </x:c>
      <x:c r="P46" s="3" t="n">
        <x:v>32319924</x:v>
      </x:c>
      <x:c r="Q46" s="3" t="n">
        <x:v>50270016</x:v>
      </x:c>
      <x:c r="R46" s="3" t="n">
        <x:v>64526528</x:v>
      </x:c>
      <x:c r="S46" s="3" t="n">
        <x:v>4582312</x:v>
      </x:c>
      <x:c r="T46" s="2" t="str">
        <x:v>4/3/4</x:v>
      </x:c>
      <x:c r="U46" s="2" t="str">
        <x:v>results/formal_composition/C_free_compressed_ring_hot90_N4096_B64_seed105.json</x:v>
      </x:c>
      <x:c r="V46" s="2" t="str">
        <x:v>622266fce301ccb6156231b55f1f86c4fd8b6f54a2ac93217bcbce5a12b4af51</x:v>
      </x:c>
    </x:row>
    <x:row r="47" ht="22" customHeight="1">
      <x:c r="A47" s="2" t="str">
        <x:v>C_free_compressed_ring_scan_N4096_B64_seed101</x:v>
      </x:c>
      <x:c r="B47" s="2" t="str">
        <x:v>free_compressed</x:v>
      </x:c>
      <x:c r="C47" s="2" t="str">
        <x:v>scan</x:v>
      </x:c>
      <x:c r="D47" s="2" t="str">
        <x:v>ring</x:v>
      </x:c>
      <x:c r="E47" s="3" t="n">
        <x:v>101</x:v>
      </x:c>
      <x:c r="F47" s="3" t="n">
        <x:v>4096</x:v>
      </x:c>
      <x:c r="G47" s="3" t="n">
        <x:v>64</x:v>
      </x:c>
      <x:c r="H47" s="3" t="n">
        <x:v>4096</x:v>
      </x:c>
      <x:c r="I47" s="3" t="n">
        <x:v>109746624</x:v>
      </x:c>
      <x:c r="J47" s="3" t="n">
        <x:v>49816496</x:v>
      </x:c>
      <x:c r="K47" s="3" t="n">
        <x:v>59930128</x:v>
      </x:c>
      <x:c r="L47" s="3" t="n">
        <x:v>16926</x:v>
      </x:c>
      <x:c r="M47" s="3" t="n">
        <x:v>10977760</x:v>
      </x:c>
      <x:c r="N47" s="3" t="n">
        <x:v>13626880</x:v>
      </x:c>
      <x:c r="O47" s="3" t="n">
        <x:v>14962584</x:v>
      </x:c>
      <x:c r="P47" s="3" t="n">
        <x:v>14962584</x:v>
      </x:c>
      <x:c r="Q47" s="3" t="n">
        <x:v>23266816</x:v>
      </x:c>
      <x:c r="R47" s="3" t="n">
        <x:v>29828608</x:v>
      </x:c>
      <x:c r="S47" s="3" t="n">
        <x:v>2121392</x:v>
      </x:c>
      <x:c r="T47" s="2" t="str">
        <x:v>4/3/4</x:v>
      </x:c>
      <x:c r="U47" s="2" t="str">
        <x:v>results/formal_composition/C_free_compressed_ring_scan_N4096_B64_seed101.json</x:v>
      </x:c>
      <x:c r="V47" s="2" t="str">
        <x:v>496a716a0c12d2d3c0809f3d8cb6f06bfa375ae3652020283fd52121790244f5</x:v>
      </x:c>
    </x:row>
    <x:row r="48" ht="22" customHeight="1">
      <x:c r="A48" s="2" t="str">
        <x:v>C_free_compressed_ring_scan_N4096_B64_seed102</x:v>
      </x:c>
      <x:c r="B48" s="2" t="str">
        <x:v>free_compressed</x:v>
      </x:c>
      <x:c r="C48" s="2" t="str">
        <x:v>scan</x:v>
      </x:c>
      <x:c r="D48" s="2" t="str">
        <x:v>ring</x:v>
      </x:c>
      <x:c r="E48" s="3" t="n">
        <x:v>102</x:v>
      </x:c>
      <x:c r="F48" s="3" t="n">
        <x:v>4096</x:v>
      </x:c>
      <x:c r="G48" s="3" t="n">
        <x:v>64</x:v>
      </x:c>
      <x:c r="H48" s="3" t="n">
        <x:v>4096</x:v>
      </x:c>
      <x:c r="I48" s="3" t="n">
        <x:v>109696400</x:v>
      </x:c>
      <x:c r="J48" s="3" t="n">
        <x:v>49799872</x:v>
      </x:c>
      <x:c r="K48" s="3" t="n">
        <x:v>59896528</x:v>
      </x:c>
      <x:c r="L48" s="3" t="n">
        <x:v>16926</x:v>
      </x:c>
      <x:c r="M48" s="3" t="n">
        <x:v>10972720</x:v>
      </x:c>
      <x:c r="N48" s="3" t="n">
        <x:v>13613440</x:v>
      </x:c>
      <x:c r="O48" s="3" t="n">
        <x:v>14962584</x:v>
      </x:c>
      <x:c r="P48" s="3" t="n">
        <x:v>14962584</x:v>
      </x:c>
      <x:c r="Q48" s="3" t="n">
        <x:v>23255232</x:v>
      </x:c>
      <x:c r="R48" s="3" t="n">
        <x:v>29808448</x:v>
      </x:c>
      <x:c r="S48" s="3" t="n">
        <x:v>2121392</x:v>
      </x:c>
      <x:c r="T48" s="2" t="str">
        <x:v>4/3/4</x:v>
      </x:c>
      <x:c r="U48" s="2" t="str">
        <x:v>results/formal_composition/C_free_compressed_ring_scan_N4096_B64_seed102.json</x:v>
      </x:c>
      <x:c r="V48" s="2" t="str">
        <x:v>1161aaa0279afd04433a83c115d29ba474913d1748fd218d6abe1b320ec7e25a</x:v>
      </x:c>
    </x:row>
    <x:row r="49" ht="22" customHeight="1">
      <x:c r="A49" s="2" t="str">
        <x:v>C_free_compressed_ring_scan_N4096_B64_seed103</x:v>
      </x:c>
      <x:c r="B49" s="2" t="str">
        <x:v>free_compressed</x:v>
      </x:c>
      <x:c r="C49" s="2" t="str">
        <x:v>scan</x:v>
      </x:c>
      <x:c r="D49" s="2" t="str">
        <x:v>ring</x:v>
      </x:c>
      <x:c r="E49" s="3" t="n">
        <x:v>103</x:v>
      </x:c>
      <x:c r="F49" s="3" t="n">
        <x:v>4096</x:v>
      </x:c>
      <x:c r="G49" s="3" t="n">
        <x:v>64</x:v>
      </x:c>
      <x:c r="H49" s="3" t="n">
        <x:v>4096</x:v>
      </x:c>
      <x:c r="I49" s="3" t="n">
        <x:v>109822784</x:v>
      </x:c>
      <x:c r="J49" s="3" t="n">
        <x:v>49828656</x:v>
      </x:c>
      <x:c r="K49" s="3" t="n">
        <x:v>59994128</x:v>
      </x:c>
      <x:c r="L49" s="3" t="n">
        <x:v>16926</x:v>
      </x:c>
      <x:c r="M49" s="3" t="n">
        <x:v>10987360</x:v>
      </x:c>
      <x:c r="N49" s="3" t="n">
        <x:v>13652480</x:v>
      </x:c>
      <x:c r="O49" s="3" t="n">
        <x:v>14962584</x:v>
      </x:c>
      <x:c r="P49" s="3" t="n">
        <x:v>14962584</x:v>
      </x:c>
      <x:c r="Q49" s="3" t="n">
        <x:v>23269376</x:v>
      </x:c>
      <x:c r="R49" s="3" t="n">
        <x:v>29867008</x:v>
      </x:c>
      <x:c r="S49" s="3" t="n">
        <x:v>2121392</x:v>
      </x:c>
      <x:c r="T49" s="2" t="str">
        <x:v>4/3/4</x:v>
      </x:c>
      <x:c r="U49" s="2" t="str">
        <x:v>results/formal_composition/C_free_compressed_ring_scan_N4096_B64_seed103.json</x:v>
      </x:c>
      <x:c r="V49" s="2" t="str">
        <x:v>527f503e58d7f828bddba9b1d66d2f87e8783dff5a6842b9511c256d309e55f6</x:v>
      </x:c>
    </x:row>
    <x:row r="50" ht="22" customHeight="1">
      <x:c r="A50" s="2" t="str">
        <x:v>C_free_compressed_ring_scan_N4096_B64_seed104</x:v>
      </x:c>
      <x:c r="B50" s="2" t="str">
        <x:v>free_compressed</x:v>
      </x:c>
      <x:c r="C50" s="2" t="str">
        <x:v>scan</x:v>
      </x:c>
      <x:c r="D50" s="2" t="str">
        <x:v>ring</x:v>
      </x:c>
      <x:c r="E50" s="3" t="n">
        <x:v>104</x:v>
      </x:c>
      <x:c r="F50" s="3" t="n">
        <x:v>4096</x:v>
      </x:c>
      <x:c r="G50" s="3" t="n">
        <x:v>64</x:v>
      </x:c>
      <x:c r="H50" s="3" t="n">
        <x:v>4096</x:v>
      </x:c>
      <x:c r="I50" s="3" t="n">
        <x:v>109675392</x:v>
      </x:c>
      <x:c r="J50" s="3" t="n">
        <x:v>49809264</x:v>
      </x:c>
      <x:c r="K50" s="3" t="n">
        <x:v>59866128</x:v>
      </x:c>
      <x:c r="L50" s="3" t="n">
        <x:v>16926</x:v>
      </x:c>
      <x:c r="M50" s="3" t="n">
        <x:v>10968160</x:v>
      </x:c>
      <x:c r="N50" s="3" t="n">
        <x:v>13601280</x:v>
      </x:c>
      <x:c r="O50" s="3" t="n">
        <x:v>14962584</x:v>
      </x:c>
      <x:c r="P50" s="3" t="n">
        <x:v>14962584</x:v>
      </x:c>
      <x:c r="Q50" s="3" t="n">
        <x:v>23269184</x:v>
      </x:c>
      <x:c r="R50" s="3" t="n">
        <x:v>29790208</x:v>
      </x:c>
      <x:c r="S50" s="3" t="n">
        <x:v>2121392</x:v>
      </x:c>
      <x:c r="T50" s="2" t="str">
        <x:v>4/3/4</x:v>
      </x:c>
      <x:c r="U50" s="2" t="str">
        <x:v>results/formal_composition/C_free_compressed_ring_scan_N4096_B64_seed104.json</x:v>
      </x:c>
      <x:c r="V50" s="2" t="str">
        <x:v>99b9def16ddb60e42b4e471530e2884ae6ccf2ccce92650ee5366cf79c2d6124</x:v>
      </x:c>
    </x:row>
    <x:row r="51" ht="22" customHeight="1">
      <x:c r="A51" s="2" t="str">
        <x:v>C_free_compressed_ring_scan_N4096_B64_seed105</x:v>
      </x:c>
      <x:c r="B51" s="2" t="str">
        <x:v>free_compressed</x:v>
      </x:c>
      <x:c r="C51" s="2" t="str">
        <x:v>scan</x:v>
      </x:c>
      <x:c r="D51" s="2" t="str">
        <x:v>ring</x:v>
      </x:c>
      <x:c r="E51" s="3" t="n">
        <x:v>105</x:v>
      </x:c>
      <x:c r="F51" s="3" t="n">
        <x:v>4096</x:v>
      </x:c>
      <x:c r="G51" s="3" t="n">
        <x:v>64</x:v>
      </x:c>
      <x:c r="H51" s="3" t="n">
        <x:v>4096</x:v>
      </x:c>
      <x:c r="I51" s="3" t="n">
        <x:v>109585552</x:v>
      </x:c>
      <x:c r="J51" s="3" t="n">
        <x:v>49797824</x:v>
      </x:c>
      <x:c r="K51" s="3" t="n">
        <x:v>59787728</x:v>
      </x:c>
      <x:c r="L51" s="3" t="n">
        <x:v>16926</x:v>
      </x:c>
      <x:c r="M51" s="3" t="n">
        <x:v>10956400</x:v>
      </x:c>
      <x:c r="N51" s="3" t="n">
        <x:v>13569920</x:v>
      </x:c>
      <x:c r="O51" s="3" t="n">
        <x:v>14962584</x:v>
      </x:c>
      <x:c r="P51" s="3" t="n">
        <x:v>14962584</x:v>
      </x:c>
      <x:c r="Q51" s="3" t="n">
        <x:v>23269504</x:v>
      </x:c>
      <x:c r="R51" s="3" t="n">
        <x:v>29743168</x:v>
      </x:c>
      <x:c r="S51" s="3" t="n">
        <x:v>2121392</x:v>
      </x:c>
      <x:c r="T51" s="2" t="str">
        <x:v>4/3/4</x:v>
      </x:c>
      <x:c r="U51" s="2" t="str">
        <x:v>results/formal_composition/C_free_compressed_ring_scan_N4096_B64_seed105.json</x:v>
      </x:c>
      <x:c r="V51" s="2" t="str">
        <x:v>ca49df40d01354d0bb406e6977f1c91e5187d99938fd97e90ef96207bfa43ab6</x:v>
      </x:c>
    </x:row>
    <x:row r="52" ht="22" customHeight="1">
      <x:c r="A52" s="2" t="str">
        <x:v>C_free_compressed_ring_uniform_N4096_B64_seed101</x:v>
      </x:c>
      <x:c r="B52" s="2" t="str">
        <x:v>free_compressed</x:v>
      </x:c>
      <x:c r="C52" s="2" t="str">
        <x:v>uniform</x:v>
      </x:c>
      <x:c r="D52" s="2" t="str">
        <x:v>ring</x:v>
      </x:c>
      <x:c r="E52" s="3" t="n">
        <x:v>101</x:v>
      </x:c>
      <x:c r="F52" s="3" t="n">
        <x:v>4096</x:v>
      </x:c>
      <x:c r="G52" s="3" t="n">
        <x:v>64</x:v>
      </x:c>
      <x:c r="H52" s="3" t="n">
        <x:v>4096</x:v>
      </x:c>
      <x:c r="I52" s="3" t="n">
        <x:v>249602448</x:v>
      </x:c>
      <x:c r="J52" s="3" t="n">
        <x:v>113219784</x:v>
      </x:c>
      <x:c r="K52" s="3" t="n">
        <x:v>136382664</x:v>
      </x:c>
      <x:c r="L52" s="3" t="n">
        <x:v>38463</x:v>
      </x:c>
      <x:c r="M52" s="3" t="n">
        <x:v>24975520</x:v>
      </x:c>
      <x:c r="N52" s="3" t="n">
        <x:v>31044480</x:v>
      </x:c>
      <x:c r="O52" s="3" t="n">
        <x:v>34001292</x:v>
      </x:c>
      <x:c r="P52" s="3" t="n">
        <x:v>34001292</x:v>
      </x:c>
      <x:c r="Q52" s="3" t="n">
        <x:v>52858304</x:v>
      </x:c>
      <x:c r="R52" s="3" t="n">
        <x:v>67900864</x:v>
      </x:c>
      <x:c r="S52" s="3" t="n">
        <x:v>4820696</x:v>
      </x:c>
      <x:c r="T52" s="2" t="str">
        <x:v>4/3/4</x:v>
      </x:c>
      <x:c r="U52" s="2" t="str">
        <x:v>results/formal_composition/C_free_compressed_ring_uniform_N4096_B64_seed101.json</x:v>
      </x:c>
      <x:c r="V52" s="2" t="str">
        <x:v>2ae25b1cc45589b91225b1e6f4975bbe43544057fa86482961443f429a15696f</x:v>
      </x:c>
    </x:row>
    <x:row r="53" ht="22" customHeight="1">
      <x:c r="A53" s="2" t="str">
        <x:v>C_free_compressed_ring_uniform_N4096_B64_seed102</x:v>
      </x:c>
      <x:c r="B53" s="2" t="str">
        <x:v>free_compressed</x:v>
      </x:c>
      <x:c r="C53" s="2" t="str">
        <x:v>uniform</x:v>
      </x:c>
      <x:c r="D53" s="2" t="str">
        <x:v>ring</x:v>
      </x:c>
      <x:c r="E53" s="3" t="n">
        <x:v>102</x:v>
      </x:c>
      <x:c r="F53" s="3" t="n">
        <x:v>4096</x:v>
      </x:c>
      <x:c r="G53" s="3" t="n">
        <x:v>64</x:v>
      </x:c>
      <x:c r="H53" s="3" t="n">
        <x:v>4096</x:v>
      </x:c>
      <x:c r="I53" s="3" t="n">
        <x:v>249576304</x:v>
      </x:c>
      <x:c r="J53" s="3" t="n">
        <x:v>113202376</x:v>
      </x:c>
      <x:c r="K53" s="3" t="n">
        <x:v>136373928</x:v>
      </x:c>
      <x:c r="L53" s="3" t="n">
        <x:v>38451</x:v>
      </x:c>
      <x:c r="M53" s="3" t="n">
        <x:v>24972800</x:v>
      </x:c>
      <x:c r="N53" s="3" t="n">
        <x:v>31048320</x:v>
      </x:c>
      <x:c r="O53" s="3" t="n">
        <x:v>33990684</x:v>
      </x:c>
      <x:c r="P53" s="3" t="n">
        <x:v>33990684</x:v>
      </x:c>
      <x:c r="Q53" s="3" t="n">
        <x:v>52854656</x:v>
      </x:c>
      <x:c r="R53" s="3" t="n">
        <x:v>67899968</x:v>
      </x:c>
      <x:c r="S53" s="3" t="n">
        <x:v>4819192</x:v>
      </x:c>
      <x:c r="T53" s="2" t="str">
        <x:v>4/3/4</x:v>
      </x:c>
      <x:c r="U53" s="2" t="str">
        <x:v>results/formal_composition/C_free_compressed_ring_uniform_N4096_B64_seed102.json</x:v>
      </x:c>
      <x:c r="V53" s="2" t="str">
        <x:v>d4d1dfb9cd7031e812dc73327942f52cbe614af3d959c942acdff3fb69d88d7e</x:v>
      </x:c>
    </x:row>
    <x:row r="54" ht="22" customHeight="1">
      <x:c r="A54" s="2" t="str">
        <x:v>C_free_compressed_ring_uniform_N4096_B64_seed103</x:v>
      </x:c>
      <x:c r="B54" s="2" t="str">
        <x:v>free_compressed</x:v>
      </x:c>
      <x:c r="C54" s="2" t="str">
        <x:v>uniform</x:v>
      </x:c>
      <x:c r="D54" s="2" t="str">
        <x:v>ring</x:v>
      </x:c>
      <x:c r="E54" s="3" t="n">
        <x:v>103</x:v>
      </x:c>
      <x:c r="F54" s="3" t="n">
        <x:v>4096</x:v>
      </x:c>
      <x:c r="G54" s="3" t="n">
        <x:v>64</x:v>
      </x:c>
      <x:c r="H54" s="3" t="n">
        <x:v>4096</x:v>
      </x:c>
      <x:c r="I54" s="3" t="n">
        <x:v>248707456</x:v>
      </x:c>
      <x:c r="J54" s="3" t="n">
        <x:v>112781928</x:v>
      </x:c>
      <x:c r="K54" s="3" t="n">
        <x:v>135925528</x:v>
      </x:c>
      <x:c r="L54" s="3" t="n">
        <x:v>38301</x:v>
      </x:c>
      <x:c r="M54" s="3" t="n">
        <x:v>24887920</x:v>
      </x:c>
      <x:c r="N54" s="3" t="n">
        <x:v>30960640</x:v>
      </x:c>
      <x:c r="O54" s="3" t="n">
        <x:v>33858084</x:v>
      </x:c>
      <x:c r="P54" s="3" t="n">
        <x:v>33858084</x:v>
      </x:c>
      <x:c r="Q54" s="3" t="n">
        <x:v>52657088</x:v>
      </x:c>
      <x:c r="R54" s="3" t="n">
        <x:v>67685248</x:v>
      </x:c>
      <x:c r="S54" s="3" t="n">
        <x:v>4800392</x:v>
      </x:c>
      <x:c r="T54" s="2" t="str">
        <x:v>4/3/4</x:v>
      </x:c>
      <x:c r="U54" s="2" t="str">
        <x:v>results/formal_composition/C_free_compressed_ring_uniform_N4096_B64_seed103.json</x:v>
      </x:c>
      <x:c r="V54" s="2" t="str">
        <x:v>6981d4f2d9eafe9268e02a74012aa2ce091bef5ebf1b5343a1688074cb1a9735</x:v>
      </x:c>
    </x:row>
    <x:row r="55" ht="22" customHeight="1">
      <x:c r="A55" s="2" t="str">
        <x:v>C_free_compressed_ring_uniform_N4096_B64_seed104</x:v>
      </x:c>
      <x:c r="B55" s="2" t="str">
        <x:v>free_compressed</x:v>
      </x:c>
      <x:c r="C55" s="2" t="str">
        <x:v>uniform</x:v>
      </x:c>
      <x:c r="D55" s="2" t="str">
        <x:v>ring</x:v>
      </x:c>
      <x:c r="E55" s="3" t="n">
        <x:v>104</x:v>
      </x:c>
      <x:c r="F55" s="3" t="n">
        <x:v>4096</x:v>
      </x:c>
      <x:c r="G55" s="3" t="n">
        <x:v>64</x:v>
      </x:c>
      <x:c r="H55" s="3" t="n">
        <x:v>4096</x:v>
      </x:c>
      <x:c r="I55" s="3" t="n">
        <x:v>247855216</x:v>
      </x:c>
      <x:c r="J55" s="3" t="n">
        <x:v>112407664</x:v>
      </x:c>
      <x:c r="K55" s="3" t="n">
        <x:v>135447552</x:v>
      </x:c>
      <x:c r="L55" s="3" t="n">
        <x:v>38184</x:v>
      </x:c>
      <x:c r="M55" s="3" t="n">
        <x:v>24802480</x:v>
      </x:c>
      <x:c r="N55" s="3" t="n">
        <x:v>30840960</x:v>
      </x:c>
      <x:c r="O55" s="3" t="n">
        <x:v>33754656</x:v>
      </x:c>
      <x:c r="P55" s="3" t="n">
        <x:v>33754656</x:v>
      </x:c>
      <x:c r="Q55" s="3" t="n">
        <x:v>52475904</x:v>
      </x:c>
      <x:c r="R55" s="3" t="n">
        <x:v>67440832</x:v>
      </x:c>
      <x:c r="S55" s="3" t="n">
        <x:v>4785728</x:v>
      </x:c>
      <x:c r="T55" s="2" t="str">
        <x:v>4/3/4</x:v>
      </x:c>
      <x:c r="U55" s="2" t="str">
        <x:v>results/formal_composition/C_free_compressed_ring_uniform_N4096_B64_seed104.json</x:v>
      </x:c>
      <x:c r="V55" s="2" t="str">
        <x:v>69f310772a21704c5bed40ddbf5e0e0bada501357317b488784598ce9df21338</x:v>
      </x:c>
    </x:row>
    <x:row r="56" ht="22" customHeight="1">
      <x:c r="A56" s="2" t="str">
        <x:v>C_free_compressed_ring_uniform_N4096_B64_seed105</x:v>
      </x:c>
      <x:c r="B56" s="2" t="str">
        <x:v>free_compressed</x:v>
      </x:c>
      <x:c r="C56" s="2" t="str">
        <x:v>uniform</x:v>
      </x:c>
      <x:c r="D56" s="2" t="str">
        <x:v>ring</x:v>
      </x:c>
      <x:c r="E56" s="3" t="n">
        <x:v>105</x:v>
      </x:c>
      <x:c r="F56" s="3" t="n">
        <x:v>4096</x:v>
      </x:c>
      <x:c r="G56" s="3" t="n">
        <x:v>64</x:v>
      </x:c>
      <x:c r="H56" s="3" t="n">
        <x:v>4096</x:v>
      </x:c>
      <x:c r="I56" s="3" t="n">
        <x:v>248866016</x:v>
      </x:c>
      <x:c r="J56" s="3" t="n">
        <x:v>112936072</x:v>
      </x:c>
      <x:c r="K56" s="3" t="n">
        <x:v>135929944</x:v>
      </x:c>
      <x:c r="L56" s="3" t="n">
        <x:v>38373</x:v>
      </x:c>
      <x:c r="M56" s="3" t="n">
        <x:v>24897040</x:v>
      </x:c>
      <x:c r="N56" s="3" t="n">
        <x:v>30918400</x:v>
      </x:c>
      <x:c r="O56" s="3" t="n">
        <x:v>33921732</x:v>
      </x:c>
      <x:c r="P56" s="3" t="n">
        <x:v>33921732</x:v>
      </x:c>
      <x:c r="Q56" s="3" t="n">
        <x:v>52735872</x:v>
      </x:c>
      <x:c r="R56" s="3" t="n">
        <x:v>67661824</x:v>
      </x:c>
      <x:c r="S56" s="3" t="n">
        <x:v>4809416</x:v>
      </x:c>
      <x:c r="T56" s="2" t="str">
        <x:v>4/3/4</x:v>
      </x:c>
      <x:c r="U56" s="2" t="str">
        <x:v>results/formal_composition/C_free_compressed_ring_uniform_N4096_B64_seed105.json</x:v>
      </x:c>
      <x:c r="V56" s="2" t="str">
        <x:v>485e597590901b1d574d9c5cbad7dfb2cd0dc2cebcdb41487fdcbdcff47ff4ac</x:v>
      </x:c>
    </x:row>
    <x:row r="57" ht="22" customHeight="1">
      <x:c r="A57" s="2" t="str">
        <x:v>C_free_compressed_ring_zipf09_N4096_B64_seed101</x:v>
      </x:c>
      <x:c r="B57" s="2" t="str">
        <x:v>free_compressed</x:v>
      </x:c>
      <x:c r="C57" s="2" t="str">
        <x:v>zipf09</x:v>
      </x:c>
      <x:c r="D57" s="2" t="str">
        <x:v>ring</x:v>
      </x:c>
      <x:c r="E57" s="3" t="n">
        <x:v>101</x:v>
      </x:c>
      <x:c r="F57" s="3" t="n">
        <x:v>4096</x:v>
      </x:c>
      <x:c r="G57" s="3" t="n">
        <x:v>64</x:v>
      </x:c>
      <x:c r="H57" s="3" t="n">
        <x:v>4096</x:v>
      </x:c>
      <x:c r="I57" s="3" t="n">
        <x:v>243275536</x:v>
      </x:c>
      <x:c r="J57" s="3" t="n">
        <x:v>110386736</x:v>
      </x:c>
      <x:c r="K57" s="3" t="n">
        <x:v>132888800</x:v>
      </x:c>
      <x:c r="L57" s="3" t="n">
        <x:v>37500</x:v>
      </x:c>
      <x:c r="M57" s="3" t="n">
        <x:v>24338320</x:v>
      </x:c>
      <x:c r="N57" s="3" t="n">
        <x:v>30235520</x:v>
      </x:c>
      <x:c r="O57" s="3" t="n">
        <x:v>33150000</x:v>
      </x:c>
      <x:c r="P57" s="3" t="n">
        <x:v>33150000</x:v>
      </x:c>
      <x:c r="Q57" s="3" t="n">
        <x:v>51548416</x:v>
      </x:c>
      <x:c r="R57" s="3" t="n">
        <x:v>66153280</x:v>
      </x:c>
      <x:c r="S57" s="3" t="n">
        <x:v>4700000</x:v>
      </x:c>
      <x:c r="T57" s="2" t="str">
        <x:v>4/3/4</x:v>
      </x:c>
      <x:c r="U57" s="2" t="str">
        <x:v>results/formal_composition/C_free_compressed_ring_zipf09_N4096_B64_seed101.json</x:v>
      </x:c>
      <x:c r="V57" s="2" t="str">
        <x:v>cda7a6c2befd9f40ec1d5083c24070735f756f373b898cd2b9027b2cbd56f369</x:v>
      </x:c>
    </x:row>
    <x:row r="58" ht="22" customHeight="1">
      <x:c r="A58" s="2" t="str">
        <x:v>C_free_compressed_ring_zipf09_N4096_B64_seed102</x:v>
      </x:c>
      <x:c r="B58" s="2" t="str">
        <x:v>free_compressed</x:v>
      </x:c>
      <x:c r="C58" s="2" t="str">
        <x:v>zipf09</x:v>
      </x:c>
      <x:c r="D58" s="2" t="str">
        <x:v>ring</x:v>
      </x:c>
      <x:c r="E58" s="3" t="n">
        <x:v>102</x:v>
      </x:c>
      <x:c r="F58" s="3" t="n">
        <x:v>4096</x:v>
      </x:c>
      <x:c r="G58" s="3" t="n">
        <x:v>64</x:v>
      </x:c>
      <x:c r="H58" s="3" t="n">
        <x:v>4096</x:v>
      </x:c>
      <x:c r="I58" s="3" t="n">
        <x:v>244187584</x:v>
      </x:c>
      <x:c r="J58" s="3" t="n">
        <x:v>110775488</x:v>
      </x:c>
      <x:c r="K58" s="3" t="n">
        <x:v>133412096</x:v>
      </x:c>
      <x:c r="L58" s="3" t="n">
        <x:v>37632</x:v>
      </x:c>
      <x:c r="M58" s="3" t="n">
        <x:v>24432320</x:v>
      </x:c>
      <x:c r="N58" s="3" t="n">
        <x:v>30364160</x:v>
      </x:c>
      <x:c r="O58" s="3" t="n">
        <x:v>33266688</x:v>
      </x:c>
      <x:c r="P58" s="3" t="n">
        <x:v>33266688</x:v>
      </x:c>
      <x:c r="Q58" s="3" t="n">
        <x:v>51721728</x:v>
      </x:c>
      <x:c r="R58" s="3" t="n">
        <x:v>66419456</x:v>
      </x:c>
      <x:c r="S58" s="3" t="n">
        <x:v>4716544</x:v>
      </x:c>
      <x:c r="T58" s="2" t="str">
        <x:v>4/3/4</x:v>
      </x:c>
      <x:c r="U58" s="2" t="str">
        <x:v>results/formal_composition/C_free_compressed_ring_zipf09_N4096_B64_seed102.json</x:v>
      </x:c>
      <x:c r="V58" s="2" t="str">
        <x:v>0f81c0cce674c6535713a66fdad9e360caf81b2504de6dfc9a6c7cc9e3f02fe2</x:v>
      </x:c>
    </x:row>
    <x:row r="59" ht="22" customHeight="1">
      <x:c r="A59" s="2" t="str">
        <x:v>C_free_compressed_ring_zipf09_N4096_B64_seed103</x:v>
      </x:c>
      <x:c r="B59" s="2" t="str">
        <x:v>free_compressed</x:v>
      </x:c>
      <x:c r="C59" s="2" t="str">
        <x:v>zipf09</x:v>
      </x:c>
      <x:c r="D59" s="2" t="str">
        <x:v>ring</x:v>
      </x:c>
      <x:c r="E59" s="3" t="n">
        <x:v>103</x:v>
      </x:c>
      <x:c r="F59" s="3" t="n">
        <x:v>4096</x:v>
      </x:c>
      <x:c r="G59" s="3" t="n">
        <x:v>64</x:v>
      </x:c>
      <x:c r="H59" s="3" t="n">
        <x:v>4096</x:v>
      </x:c>
      <x:c r="I59" s="3" t="n">
        <x:v>243480240</x:v>
      </x:c>
      <x:c r="J59" s="3" t="n">
        <x:v>110402640</x:v>
      </x:c>
      <x:c r="K59" s="3" t="n">
        <x:v>133077600</x:v>
      </x:c>
      <x:c r="L59" s="3" t="n">
        <x:v>37500</x:v>
      </x:c>
      <x:c r="M59" s="3" t="n">
        <x:v>24366640</x:v>
      </x:c>
      <x:c r="N59" s="3" t="n">
        <x:v>30311040</x:v>
      </x:c>
      <x:c r="O59" s="3" t="n">
        <x:v>33150000</x:v>
      </x:c>
      <x:c r="P59" s="3" t="n">
        <x:v>33150000</x:v>
      </x:c>
      <x:c r="Q59" s="3" t="n">
        <x:v>51536000</x:v>
      </x:c>
      <x:c r="R59" s="3" t="n">
        <x:v>66266560</x:v>
      </x:c>
      <x:c r="S59" s="3" t="n">
        <x:v>4700000</x:v>
      </x:c>
      <x:c r="T59" s="2" t="str">
        <x:v>4/3/4</x:v>
      </x:c>
      <x:c r="U59" s="2" t="str">
        <x:v>results/formal_composition/C_free_compressed_ring_zipf09_N4096_B64_seed103.json</x:v>
      </x:c>
      <x:c r="V59" s="2" t="str">
        <x:v>711a7b88c70be372227940ae325bea766fe2648b02ccd75a53ab55b334cda379</x:v>
      </x:c>
    </x:row>
    <x:row r="60" ht="22" customHeight="1">
      <x:c r="A60" s="2" t="str">
        <x:v>C_free_compressed_ring_zipf09_N4096_B64_seed104</x:v>
      </x:c>
      <x:c r="B60" s="2" t="str">
        <x:v>free_compressed</x:v>
      </x:c>
      <x:c r="C60" s="2" t="str">
        <x:v>zipf09</x:v>
      </x:c>
      <x:c r="D60" s="2" t="str">
        <x:v>ring</x:v>
      </x:c>
      <x:c r="E60" s="3" t="n">
        <x:v>104</x:v>
      </x:c>
      <x:c r="F60" s="3" t="n">
        <x:v>4096</x:v>
      </x:c>
      <x:c r="G60" s="3" t="n">
        <x:v>64</x:v>
      </x:c>
      <x:c r="H60" s="3" t="n">
        <x:v>4096</x:v>
      </x:c>
      <x:c r="I60" s="3" t="n">
        <x:v>242127200</x:v>
      </x:c>
      <x:c r="J60" s="3" t="n">
        <x:v>109881656</x:v>
      </x:c>
      <x:c r="K60" s="3" t="n">
        <x:v>132245544</x:v>
      </x:c>
      <x:c r="L60" s="3" t="n">
        <x:v>37323</x:v>
      </x:c>
      <x:c r="M60" s="3" t="n">
        <x:v>24221040</x:v>
      </x:c>
      <x:c r="N60" s="3" t="n">
        <x:v>30086400</x:v>
      </x:c>
      <x:c r="O60" s="3" t="n">
        <x:v>32993532</x:v>
      </x:c>
      <x:c r="P60" s="3" t="n">
        <x:v>32993532</x:v>
      </x:c>
      <x:c r="Q60" s="3" t="n">
        <x:v>51323456</x:v>
      </x:c>
      <x:c r="R60" s="3" t="n">
        <x:v>65831424</x:v>
      </x:c>
      <x:c r="S60" s="3" t="n">
        <x:v>4677816</x:v>
      </x:c>
      <x:c r="T60" s="2" t="str">
        <x:v>4/3/4</x:v>
      </x:c>
      <x:c r="U60" s="2" t="str">
        <x:v>results/formal_composition/C_free_compressed_ring_zipf09_N4096_B64_seed104.json</x:v>
      </x:c>
      <x:c r="V60" s="2" t="str">
        <x:v>ac0259e8d0276738e461a672db6a6c87cad0b36dc1f3ee87554d6d88456fb7d6</x:v>
      </x:c>
    </x:row>
    <x:row r="61" ht="22" customHeight="1">
      <x:c r="A61" s="2" t="str">
        <x:v>C_free_compressed_ring_zipf09_N4096_B64_seed105</x:v>
      </x:c>
      <x:c r="B61" s="2" t="str">
        <x:v>free_compressed</x:v>
      </x:c>
      <x:c r="C61" s="2" t="str">
        <x:v>zipf09</x:v>
      </x:c>
      <x:c r="D61" s="2" t="str">
        <x:v>ring</x:v>
      </x:c>
      <x:c r="E61" s="3" t="n">
        <x:v>105</x:v>
      </x:c>
      <x:c r="F61" s="3" t="n">
        <x:v>4096</x:v>
      </x:c>
      <x:c r="G61" s="3" t="n">
        <x:v>64</x:v>
      </x:c>
      <x:c r="H61" s="3" t="n">
        <x:v>4096</x:v>
      </x:c>
      <x:c r="I61" s="3" t="n">
        <x:v>243670496</x:v>
      </x:c>
      <x:c r="J61" s="3" t="n">
        <x:v>110565432</x:v>
      </x:c>
      <x:c r="K61" s="3" t="n">
        <x:v>133105064</x:v>
      </x:c>
      <x:c r="L61" s="3" t="n">
        <x:v>37563</x:v>
      </x:c>
      <x:c r="M61" s="3" t="n">
        <x:v>24378160</x:v>
      </x:c>
      <x:c r="N61" s="3" t="n">
        <x:v>30283520</x:v>
      </x:c>
      <x:c r="O61" s="3" t="n">
        <x:v>33205692</x:v>
      </x:c>
      <x:c r="P61" s="3" t="n">
        <x:v>33205692</x:v>
      </x:c>
      <x:c r="Q61" s="3" t="n">
        <x:v>51629312</x:v>
      </x:c>
      <x:c r="R61" s="3" t="n">
        <x:v>66260224</x:v>
      </x:c>
      <x:c r="S61" s="3" t="n">
        <x:v>4707896</x:v>
      </x:c>
      <x:c r="T61" s="2" t="str">
        <x:v>4/3/4</x:v>
      </x:c>
      <x:c r="U61" s="2" t="str">
        <x:v>results/formal_composition/C_free_compressed_ring_zipf09_N4096_B64_seed105.json</x:v>
      </x:c>
      <x:c r="V61" s="2" t="str">
        <x:v>df21f0af516e5c986a2f897ef2faf808b87cceaf28020012e381f512ac5571d2</x:v>
      </x:c>
    </x:row>
    <x:row r="62" ht="22" customHeight="1">
      <x:c r="A62" s="2" t="str">
        <x:v>C_free_compressed_sde_hot90_N4096_B64_seed101</x:v>
      </x:c>
      <x:c r="B62" s="2" t="str">
        <x:v>free_compressed</x:v>
      </x:c>
      <x:c r="C62" s="2" t="str">
        <x:v>hot90</x:v>
      </x:c>
      <x:c r="D62" s="2" t="str">
        <x:v>sde</x:v>
      </x:c>
      <x:c r="E62" s="3" t="n">
        <x:v>101</x:v>
      </x:c>
      <x:c r="F62" s="3" t="n">
        <x:v>4096</x:v>
      </x:c>
      <x:c r="G62" s="3" t="n">
        <x:v>64</x:v>
      </x:c>
      <x:c r="H62" s="3" t="n">
        <x:v>4096</x:v>
      </x:c>
      <x:c r="I62" s="3" t="n">
        <x:v>124980392</x:v>
      </x:c>
      <x:c r="J62" s="3" t="n">
        <x:v>71191272</x:v>
      </x:c>
      <x:c r="K62" s="3" t="n">
        <x:v>53789120</x:v>
      </x:c>
      <x:c r="L62" s="3" t="n">
        <x:v>24382</x:v>
      </x:c>
      <x:c r="M62" s="3" t="n">
        <x:v>35344640</x:v>
      </x:c>
      <x:c r="N62" s="3" t="n">
        <x:v>12679680</x:v>
      </x:c>
      <x:c r="O62" s="3" t="n">
        <x:v>22532208</x:v>
      </x:c>
      <x:c r="P62" s="3" t="n">
        <x:v>22532208</x:v>
      </x:c>
      <x:c r="Q62" s="3" t="n">
        <x:v>12436672</x:v>
      </x:c>
      <x:c r="R62" s="3" t="n">
        <x:v>17211840</x:v>
      </x:c>
      <x:c r="S62" s="3" t="n">
        <x:v>2243144</x:v>
      </x:c>
      <x:c r="T62" s="2" t="str">
        <x:v>4/3/4</x:v>
      </x:c>
      <x:c r="U62" s="2" t="str">
        <x:v>results/formal_composition/C_free_compressed_sde_hot90_N4096_B64_seed101.json</x:v>
      </x:c>
      <x:c r="V62" s="2" t="str">
        <x:v>f6a7c085fc7106139a7f96d4fb49645fe1d9696430abc9cb8432448a2887b45b</x:v>
      </x:c>
    </x:row>
    <x:row r="63" ht="22" customHeight="1">
      <x:c r="A63" s="2" t="str">
        <x:v>C_free_compressed_sde_hot90_N4096_B64_seed102</x:v>
      </x:c>
      <x:c r="B63" s="2" t="str">
        <x:v>free_compressed</x:v>
      </x:c>
      <x:c r="C63" s="2" t="str">
        <x:v>hot90</x:v>
      </x:c>
      <x:c r="D63" s="2" t="str">
        <x:v>sde</x:v>
      </x:c>
      <x:c r="E63" s="3" t="n">
        <x:v>102</x:v>
      </x:c>
      <x:c r="F63" s="3" t="n">
        <x:v>4096</x:v>
      </x:c>
      <x:c r="G63" s="3" t="n">
        <x:v>64</x:v>
      </x:c>
      <x:c r="H63" s="3" t="n">
        <x:v>4096</x:v>
      </x:c>
      <x:c r="I63" s="3" t="n">
        <x:v>125091056</x:v>
      </x:c>
      <x:c r="J63" s="3" t="n">
        <x:v>71266340</x:v>
      </x:c>
      <x:c r="K63" s="3" t="n">
        <x:v>53824716</x:v>
      </x:c>
      <x:c r="L63" s="3" t="n">
        <x:v>24370</x:v>
      </x:c>
      <x:c r="M63" s="3" t="n">
        <x:v>35403840</x:v>
      </x:c>
      <x:c r="N63" s="3" t="n">
        <x:v>12671360</x:v>
      </x:c>
      <x:c r="O63" s="3" t="n">
        <x:v>22569948</x:v>
      </x:c>
      <x:c r="P63" s="3" t="n">
        <x:v>22569948</x:v>
      </x:c>
      <x:c r="Q63" s="3" t="n">
        <x:v>12415232</x:v>
      </x:c>
      <x:c r="R63" s="3" t="n">
        <x:v>17218688</x:v>
      </x:c>
      <x:c r="S63" s="3" t="n">
        <x:v>2242040</x:v>
      </x:c>
      <x:c r="T63" s="2" t="str">
        <x:v>4/3/4</x:v>
      </x:c>
      <x:c r="U63" s="2" t="str">
        <x:v>results/formal_composition/C_free_compressed_sde_hot90_N4096_B64_seed102.json</x:v>
      </x:c>
      <x:c r="V63" s="2" t="str">
        <x:v>8cdb136808a2a0102153e2b6b553bd5f947d15669d9685715c59f4dc9dfdbbd2</x:v>
      </x:c>
    </x:row>
    <x:row r="64" ht="22" customHeight="1">
      <x:c r="A64" s="2" t="str">
        <x:v>C_free_compressed_sde_hot90_N4096_B64_seed103</x:v>
      </x:c>
      <x:c r="B64" s="2" t="str">
        <x:v>free_compressed</x:v>
      </x:c>
      <x:c r="C64" s="2" t="str">
        <x:v>hot90</x:v>
      </x:c>
      <x:c r="D64" s="2" t="str">
        <x:v>sde</x:v>
      </x:c>
      <x:c r="E64" s="3" t="n">
        <x:v>103</x:v>
      </x:c>
      <x:c r="F64" s="3" t="n">
        <x:v>4096</x:v>
      </x:c>
      <x:c r="G64" s="3" t="n">
        <x:v>64</x:v>
      </x:c>
      <x:c r="H64" s="3" t="n">
        <x:v>4096</x:v>
      </x:c>
      <x:c r="I64" s="3" t="n">
        <x:v>125065768</x:v>
      </x:c>
      <x:c r="J64" s="3" t="n">
        <x:v>71242704</x:v>
      </x:c>
      <x:c r="K64" s="3" t="n">
        <x:v>53823064</x:v>
      </x:c>
      <x:c r="L64" s="3" t="n">
        <x:v>24394</x:v>
      </x:c>
      <x:c r="M64" s="3" t="n">
        <x:v>35373440</x:v>
      </x:c>
      <x:c r="N64" s="3" t="n">
        <x:v>12683840</x:v>
      </x:c>
      <x:c r="O64" s="3" t="n">
        <x:v>22550568</x:v>
      </x:c>
      <x:c r="P64" s="3" t="n">
        <x:v>22550568</x:v>
      </x:c>
      <x:c r="Q64" s="3" t="n">
        <x:v>12440512</x:v>
      </x:c>
      <x:c r="R64" s="3" t="n">
        <x:v>17222592</x:v>
      </x:c>
      <x:c r="S64" s="3" t="n">
        <x:v>2244248</x:v>
      </x:c>
      <x:c r="T64" s="2" t="str">
        <x:v>4/3/4</x:v>
      </x:c>
      <x:c r="U64" s="2" t="str">
        <x:v>results/formal_composition/C_free_compressed_sde_hot90_N4096_B64_seed103.json</x:v>
      </x:c>
      <x:c r="V64" s="2" t="str">
        <x:v>656b668c4a3de4354efa00fbe67b59b5a57e2013ffe60d74ffce8637b879ff80</x:v>
      </x:c>
    </x:row>
    <x:row r="65" ht="22" customHeight="1">
      <x:c r="A65" s="2" t="str">
        <x:v>C_free_compressed_sde_hot90_N4096_B64_seed104</x:v>
      </x:c>
      <x:c r="B65" s="2" t="str">
        <x:v>free_compressed</x:v>
      </x:c>
      <x:c r="C65" s="2" t="str">
        <x:v>hot90</x:v>
      </x:c>
      <x:c r="D65" s="2" t="str">
        <x:v>sde</x:v>
      </x:c>
      <x:c r="E65" s="3" t="n">
        <x:v>104</x:v>
      </x:c>
      <x:c r="F65" s="3" t="n">
        <x:v>4096</x:v>
      </x:c>
      <x:c r="G65" s="3" t="n">
        <x:v>64</x:v>
      </x:c>
      <x:c r="H65" s="3" t="n">
        <x:v>4096</x:v>
      </x:c>
      <x:c r="I65" s="3" t="n">
        <x:v>125324160</x:v>
      </x:c>
      <x:c r="J65" s="3" t="n">
        <x:v>71390640</x:v>
      </x:c>
      <x:c r="K65" s="3" t="n">
        <x:v>53933520</x:v>
      </x:c>
      <x:c r="L65" s="3" t="n">
        <x:v>24440</x:v>
      </x:c>
      <x:c r="M65" s="3" t="n">
        <x:v>35449600</x:v>
      </x:c>
      <x:c r="N65" s="3" t="n">
        <x:v>12708800</x:v>
      </x:c>
      <x:c r="O65" s="3" t="n">
        <x:v>22599120</x:v>
      </x:c>
      <x:c r="P65" s="3" t="n">
        <x:v>22599120</x:v>
      </x:c>
      <x:c r="Q65" s="3" t="n">
        <x:v>12462080</x:v>
      </x:c>
      <x:c r="R65" s="3" t="n">
        <x:v>17256960</x:v>
      </x:c>
      <x:c r="S65" s="3" t="n">
        <x:v>2248480</x:v>
      </x:c>
      <x:c r="T65" s="2" t="str">
        <x:v>4/3/4</x:v>
      </x:c>
      <x:c r="U65" s="2" t="str">
        <x:v>results/formal_composition/C_free_compressed_sde_hot90_N4096_B64_seed104.json</x:v>
      </x:c>
      <x:c r="V65" s="2" t="str">
        <x:v>d73358dc3a56e82d975414c78c9fcb61fe811c71a20394d726be0f801606297c</x:v>
      </x:c>
    </x:row>
    <x:row r="66" ht="22" customHeight="1">
      <x:c r="A66" s="2" t="str">
        <x:v>C_free_compressed_sde_hot90_N4096_B64_seed105</x:v>
      </x:c>
      <x:c r="B66" s="2" t="str">
        <x:v>free_compressed</x:v>
      </x:c>
      <x:c r="C66" s="2" t="str">
        <x:v>hot90</x:v>
      </x:c>
      <x:c r="D66" s="2" t="str">
        <x:v>sde</x:v>
      </x:c>
      <x:c r="E66" s="3" t="n">
        <x:v>105</x:v>
      </x:c>
      <x:c r="F66" s="3" t="n">
        <x:v>4096</x:v>
      </x:c>
      <x:c r="G66" s="3" t="n">
        <x:v>64</x:v>
      </x:c>
      <x:c r="H66" s="3" t="n">
        <x:v>4096</x:v>
      </x:c>
      <x:c r="I66" s="3" t="n">
        <x:v>124996344</x:v>
      </x:c>
      <x:c r="J66" s="3" t="n">
        <x:v>71203904</x:v>
      </x:c>
      <x:c r="K66" s="3" t="n">
        <x:v>53792440</x:v>
      </x:c>
      <x:c r="L66" s="3" t="n">
        <x:v>24374</x:v>
      </x:c>
      <x:c r="M66" s="3" t="n">
        <x:v>35358080</x:v>
      </x:c>
      <x:c r="N66" s="3" t="n">
        <x:v>12675520</x:v>
      </x:c>
      <x:c r="O66" s="3" t="n">
        <x:v>22540776</x:v>
      </x:c>
      <x:c r="P66" s="3" t="n">
        <x:v>22540776</x:v>
      </x:c>
      <x:c r="Q66" s="3" t="n">
        <x:v>12427584</x:v>
      </x:c>
      <x:c r="R66" s="3" t="n">
        <x:v>17211200</x:v>
      </x:c>
      <x:c r="S66" s="3" t="n">
        <x:v>2242408</x:v>
      </x:c>
      <x:c r="T66" s="2" t="str">
        <x:v>4/3/4</x:v>
      </x:c>
      <x:c r="U66" s="2" t="str">
        <x:v>results/formal_composition/C_free_compressed_sde_hot90_N4096_B64_seed105.json</x:v>
      </x:c>
      <x:c r="V66" s="2" t="str">
        <x:v>9b0d70848dbeb94660dca501089e93de563fb62bc1413ed407c3f0862c24eadc</x:v>
      </x:c>
    </x:row>
    <x:row r="67" ht="22" customHeight="1">
      <x:c r="A67" s="2" t="str">
        <x:v>C_free_compressed_sde_scan_N4096_B64_seed101</x:v>
      </x:c>
      <x:c r="B67" s="2" t="str">
        <x:v>free_compressed</x:v>
      </x:c>
      <x:c r="C67" s="2" t="str">
        <x:v>scan</x:v>
      </x:c>
      <x:c r="D67" s="2" t="str">
        <x:v>sde</x:v>
      </x:c>
      <x:c r="E67" s="3" t="n">
        <x:v>101</x:v>
      </x:c>
      <x:c r="F67" s="3" t="n">
        <x:v>4096</x:v>
      </x:c>
      <x:c r="G67" s="3" t="n">
        <x:v>64</x:v>
      </x:c>
      <x:c r="H67" s="3" t="n">
        <x:v>4096</x:v>
      </x:c>
      <x:c r="I67" s="3" t="n">
        <x:v>57835336</x:v>
      </x:c>
      <x:c r="J67" s="3" t="n">
        <x:v>32945404</x:v>
      </x:c>
      <x:c r="K67" s="3" t="n">
        <x:v>24889932</x:v>
      </x:c>
      <x:c r="L67" s="3" t="n">
        <x:v>11284</x:v>
      </x:c>
      <x:c r="M67" s="3" t="n">
        <x:v>16356160</x:v>
      </x:c>
      <x:c r="N67" s="3" t="n">
        <x:v>5865600</x:v>
      </x:c>
      <x:c r="O67" s="3" t="n">
        <x:v>10427052</x:v>
      </x:c>
      <x:c r="P67" s="3" t="n">
        <x:v>10427052</x:v>
      </x:c>
      <x:c r="Q67" s="3" t="n">
        <x:v>5755968</x:v>
      </x:c>
      <x:c r="R67" s="3" t="n">
        <x:v>7965376</x:v>
      </x:c>
      <x:c r="S67" s="3" t="n">
        <x:v>1038128</x:v>
      </x:c>
      <x:c r="T67" s="2" t="str">
        <x:v>4/3/4</x:v>
      </x:c>
      <x:c r="U67" s="2" t="str">
        <x:v>results/formal_composition/C_free_compressed_sde_scan_N4096_B64_seed101.json</x:v>
      </x:c>
      <x:c r="V67" s="2" t="str">
        <x:v>e903a8c5a80ae23302893d49bc9f12487eb54a699c39e26f65d38dfda40f1e73</x:v>
      </x:c>
    </x:row>
    <x:row r="68" ht="22" customHeight="1">
      <x:c r="A68" s="2" t="str">
        <x:v>C_free_compressed_sde_scan_N4096_B64_seed102</x:v>
      </x:c>
      <x:c r="B68" s="2" t="str">
        <x:v>free_compressed</x:v>
      </x:c>
      <x:c r="C68" s="2" t="str">
        <x:v>scan</x:v>
      </x:c>
      <x:c r="D68" s="2" t="str">
        <x:v>sde</x:v>
      </x:c>
      <x:c r="E68" s="3" t="n">
        <x:v>102</x:v>
      </x:c>
      <x:c r="F68" s="3" t="n">
        <x:v>4096</x:v>
      </x:c>
      <x:c r="G68" s="3" t="n">
        <x:v>64</x:v>
      </x:c>
      <x:c r="H68" s="3" t="n">
        <x:v>4096</x:v>
      </x:c>
      <x:c r="I68" s="3" t="n">
        <x:v>57769088</x:v>
      </x:c>
      <x:c r="J68" s="3" t="n">
        <x:v>32903544</x:v>
      </x:c>
      <x:c r="K68" s="3" t="n">
        <x:v>24865544</x:v>
      </x:c>
      <x:c r="L68" s="3" t="n">
        <x:v>11284</x:v>
      </x:c>
      <x:c r="M68" s="3" t="n">
        <x:v>16327040</x:v>
      </x:c>
      <x:c r="N68" s="3" t="n">
        <x:v>5865600</x:v>
      </x:c>
      <x:c r="O68" s="3" t="n">
        <x:v>10408488</x:v>
      </x:c>
      <x:c r="P68" s="3" t="n">
        <x:v>10408488</x:v>
      </x:c>
      <x:c r="Q68" s="3" t="n">
        <x:v>5761792</x:v>
      </x:c>
      <x:c r="R68" s="3" t="n">
        <x:v>7959552</x:v>
      </x:c>
      <x:c r="S68" s="3" t="n">
        <x:v>1038128</x:v>
      </x:c>
      <x:c r="T68" s="2" t="str">
        <x:v>4/3/4</x:v>
      </x:c>
      <x:c r="U68" s="2" t="str">
        <x:v>results/formal_composition/C_free_compressed_sde_scan_N4096_B64_seed102.json</x:v>
      </x:c>
      <x:c r="V68" s="2" t="str">
        <x:v>1c0f7a0a97797c4fb07a113252aa3887cc0a2dddcecb8055a619a0c6479f36e8</x:v>
      </x:c>
    </x:row>
    <x:row r="69" ht="22" customHeight="1">
      <x:c r="A69" s="2" t="str">
        <x:v>C_free_compressed_sde_scan_N4096_B64_seed103</x:v>
      </x:c>
      <x:c r="B69" s="2" t="str">
        <x:v>free_compressed</x:v>
      </x:c>
      <x:c r="C69" s="2" t="str">
        <x:v>scan</x:v>
      </x:c>
      <x:c r="D69" s="2" t="str">
        <x:v>sde</x:v>
      </x:c>
      <x:c r="E69" s="3" t="n">
        <x:v>103</x:v>
      </x:c>
      <x:c r="F69" s="3" t="n">
        <x:v>4096</x:v>
      </x:c>
      <x:c r="G69" s="3" t="n">
        <x:v>64</x:v>
      </x:c>
      <x:c r="H69" s="3" t="n">
        <x:v>4096</x:v>
      </x:c>
      <x:c r="I69" s="3" t="n">
        <x:v>57889208</x:v>
      </x:c>
      <x:c r="J69" s="3" t="n">
        <x:v>32979444</x:v>
      </x:c>
      <x:c r="K69" s="3" t="n">
        <x:v>24909764</x:v>
      </x:c>
      <x:c r="L69" s="3" t="n">
        <x:v>11284</x:v>
      </x:c>
      <x:c r="M69" s="3" t="n">
        <x:v>16379840</x:v>
      </x:c>
      <x:c r="N69" s="3" t="n">
        <x:v>5865600</x:v>
      </x:c>
      <x:c r="O69" s="3" t="n">
        <x:v>10442148</x:v>
      </x:c>
      <x:c r="P69" s="3" t="n">
        <x:v>10442148</x:v>
      </x:c>
      <x:c r="Q69" s="3" t="n">
        <x:v>5751232</x:v>
      </x:c>
      <x:c r="R69" s="3" t="n">
        <x:v>7970112</x:v>
      </x:c>
      <x:c r="S69" s="3" t="n">
        <x:v>1038128</x:v>
      </x:c>
      <x:c r="T69" s="2" t="str">
        <x:v>4/3/4</x:v>
      </x:c>
      <x:c r="U69" s="2" t="str">
        <x:v>results/formal_composition/C_free_compressed_sde_scan_N4096_B64_seed103.json</x:v>
      </x:c>
      <x:c r="V69" s="2" t="str">
        <x:v>88a7aeeb135f1f8574c493c1e3321fdcde95742fc11758d1a0653bb68bf87524</x:v>
      </x:c>
    </x:row>
    <x:row r="70" ht="22" customHeight="1">
      <x:c r="A70" s="2" t="str">
        <x:v>C_free_compressed_sde_scan_N4096_B64_seed104</x:v>
      </x:c>
      <x:c r="B70" s="2" t="str">
        <x:v>free_compressed</x:v>
      </x:c>
      <x:c r="C70" s="2" t="str">
        <x:v>scan</x:v>
      </x:c>
      <x:c r="D70" s="2" t="str">
        <x:v>sde</x:v>
      </x:c>
      <x:c r="E70" s="3" t="n">
        <x:v>104</x:v>
      </x:c>
      <x:c r="F70" s="3" t="n">
        <x:v>4096</x:v>
      </x:c>
      <x:c r="G70" s="3" t="n">
        <x:v>64</x:v>
      </x:c>
      <x:c r="H70" s="3" t="n">
        <x:v>4096</x:v>
      </x:c>
      <x:c r="I70" s="3" t="n">
        <x:v>57796024</x:v>
      </x:c>
      <x:c r="J70" s="3" t="n">
        <x:v>32920564</x:v>
      </x:c>
      <x:c r="K70" s="3" t="n">
        <x:v>24875460</x:v>
      </x:c>
      <x:c r="L70" s="3" t="n">
        <x:v>11284</x:v>
      </x:c>
      <x:c r="M70" s="3" t="n">
        <x:v>16338880</x:v>
      </x:c>
      <x:c r="N70" s="3" t="n">
        <x:v>5865600</x:v>
      </x:c>
      <x:c r="O70" s="3" t="n">
        <x:v>10416036</x:v>
      </x:c>
      <x:c r="P70" s="3" t="n">
        <x:v>10416036</x:v>
      </x:c>
      <x:c r="Q70" s="3" t="n">
        <x:v>5759424</x:v>
      </x:c>
      <x:c r="R70" s="3" t="n">
        <x:v>7961920</x:v>
      </x:c>
      <x:c r="S70" s="3" t="n">
        <x:v>1038128</x:v>
      </x:c>
      <x:c r="T70" s="2" t="str">
        <x:v>4/3/4</x:v>
      </x:c>
      <x:c r="U70" s="2" t="str">
        <x:v>results/formal_composition/C_free_compressed_sde_scan_N4096_B64_seed104.json</x:v>
      </x:c>
      <x:c r="V70" s="2" t="str">
        <x:v>0dfebaa1190ffd1d1199132fcc95da2d88667035a73a15be43f269d8c4a44837</x:v>
      </x:c>
    </x:row>
    <x:row r="71" ht="22" customHeight="1">
      <x:c r="A71" s="2" t="str">
        <x:v>C_free_compressed_sde_scan_N4096_B64_seed105</x:v>
      </x:c>
      <x:c r="B71" s="2" t="str">
        <x:v>free_compressed</x:v>
      </x:c>
      <x:c r="C71" s="2" t="str">
        <x:v>scan</x:v>
      </x:c>
      <x:c r="D71" s="2" t="str">
        <x:v>sde</x:v>
      </x:c>
      <x:c r="E71" s="3" t="n">
        <x:v>105</x:v>
      </x:c>
      <x:c r="F71" s="3" t="n">
        <x:v>4096</x:v>
      </x:c>
      <x:c r="G71" s="3" t="n">
        <x:v>64</x:v>
      </x:c>
      <x:c r="H71" s="3" t="n">
        <x:v>4096</x:v>
      </x:c>
      <x:c r="I71" s="3" t="n">
        <x:v>57859360</x:v>
      </x:c>
      <x:c r="J71" s="3" t="n">
        <x:v>32960584</x:v>
      </x:c>
      <x:c r="K71" s="3" t="n">
        <x:v>24898776</x:v>
      </x:c>
      <x:c r="L71" s="3" t="n">
        <x:v>11284</x:v>
      </x:c>
      <x:c r="M71" s="3" t="n">
        <x:v>16366720</x:v>
      </x:c>
      <x:c r="N71" s="3" t="n">
        <x:v>5865600</x:v>
      </x:c>
      <x:c r="O71" s="3" t="n">
        <x:v>10433784</x:v>
      </x:c>
      <x:c r="P71" s="3" t="n">
        <x:v>10433784</x:v>
      </x:c>
      <x:c r="Q71" s="3" t="n">
        <x:v>5753856</x:v>
      </x:c>
      <x:c r="R71" s="3" t="n">
        <x:v>7967488</x:v>
      </x:c>
      <x:c r="S71" s="3" t="n">
        <x:v>1038128</x:v>
      </x:c>
      <x:c r="T71" s="2" t="str">
        <x:v>4/3/4</x:v>
      </x:c>
      <x:c r="U71" s="2" t="str">
        <x:v>results/formal_composition/C_free_compressed_sde_scan_N4096_B64_seed105.json</x:v>
      </x:c>
      <x:c r="V71" s="2" t="str">
        <x:v>b6c8c8c7db72420b03ffceda8c62dd15a027a7b145a0ee62654b60ed511d0db0</x:v>
      </x:c>
    </x:row>
    <x:row r="72" ht="22" customHeight="1">
      <x:c r="A72" s="2" t="str">
        <x:v>C_free_compressed_sde_uniform_N4096_B64_seed101</x:v>
      </x:c>
      <x:c r="B72" s="2" t="str">
        <x:v>free_compressed</x:v>
      </x:c>
      <x:c r="C72" s="2" t="str">
        <x:v>uniform</x:v>
      </x:c>
      <x:c r="D72" s="2" t="str">
        <x:v>sde</x:v>
      </x:c>
      <x:c r="E72" s="3" t="n">
        <x:v>101</x:v>
      </x:c>
      <x:c r="F72" s="3" t="n">
        <x:v>4096</x:v>
      </x:c>
      <x:c r="G72" s="3" t="n">
        <x:v>64</x:v>
      </x:c>
      <x:c r="H72" s="3" t="n">
        <x:v>4096</x:v>
      </x:c>
      <x:c r="I72" s="3" t="n">
        <x:v>131533112</x:v>
      </x:c>
      <x:c r="J72" s="3" t="n">
        <x:v>74931032</x:v>
      </x:c>
      <x:c r="K72" s="3" t="n">
        <x:v>56602080</x:v>
      </x:c>
      <x:c r="L72" s="3" t="n">
        <x:v>25642</x:v>
      </x:c>
      <x:c r="M72" s="3" t="n">
        <x:v>37213440</x:v>
      </x:c>
      <x:c r="N72" s="3" t="n">
        <x:v>13332800</x:v>
      </x:c>
      <x:c r="O72" s="3" t="n">
        <x:v>23723568</x:v>
      </x:c>
      <x:c r="P72" s="3" t="n">
        <x:v>23723568</x:v>
      </x:c>
      <x:c r="Q72" s="3" t="n">
        <x:v>13070912</x:v>
      </x:c>
      <x:c r="R72" s="3" t="n">
        <x:v>18109760</x:v>
      </x:c>
      <x:c r="S72" s="3" t="n">
        <x:v>2359064</x:v>
      </x:c>
      <x:c r="T72" s="2" t="str">
        <x:v>4/3/4</x:v>
      </x:c>
      <x:c r="U72" s="2" t="str">
        <x:v>results/formal_composition/C_free_compressed_sde_uniform_N4096_B64_seed101.json</x:v>
      </x:c>
      <x:c r="V72" s="2" t="str">
        <x:v>a439380f5a5353cddf24d539c53f210f28657b1fce1fab5f502ad9d008bfd9d7</x:v>
      </x:c>
    </x:row>
    <x:row r="73" ht="22" customHeight="1">
      <x:c r="A73" s="2" t="str">
        <x:v>C_free_compressed_sde_uniform_N4096_B64_seed102</x:v>
      </x:c>
      <x:c r="B73" s="2" t="str">
        <x:v>free_compressed</x:v>
      </x:c>
      <x:c r="C73" s="2" t="str">
        <x:v>uniform</x:v>
      </x:c>
      <x:c r="D73" s="2" t="str">
        <x:v>sde</x:v>
      </x:c>
      <x:c r="E73" s="3" t="n">
        <x:v>102</x:v>
      </x:c>
      <x:c r="F73" s="3" t="n">
        <x:v>4096</x:v>
      </x:c>
      <x:c r="G73" s="3" t="n">
        <x:v>64</x:v>
      </x:c>
      <x:c r="H73" s="3" t="n">
        <x:v>4096</x:v>
      </x:c>
      <x:c r="I73" s="3" t="n">
        <x:v>131383080</x:v>
      </x:c>
      <x:c r="J73" s="3" t="n">
        <x:v>74838784</x:v>
      </x:c>
      <x:c r="K73" s="3" t="n">
        <x:v>56544296</x:v>
      </x:c>
      <x:c r="L73" s="3" t="n">
        <x:v>25634</x:v>
      </x:c>
      <x:c r="M73" s="3" t="n">
        <x:v>37153920</x:v>
      </x:c>
      <x:c r="N73" s="3" t="n">
        <x:v>13328640</x:v>
      </x:c>
      <x:c r="O73" s="3" t="n">
        <x:v>23685624</x:v>
      </x:c>
      <x:c r="P73" s="3" t="n">
        <x:v>23685624</x:v>
      </x:c>
      <x:c r="Q73" s="3" t="n">
        <x:v>13076416</x:v>
      </x:c>
      <x:c r="R73" s="3" t="n">
        <x:v>18094528</x:v>
      </x:c>
      <x:c r="S73" s="3" t="n">
        <x:v>2358328</x:v>
      </x:c>
      <x:c r="T73" s="2" t="str">
        <x:v>4/3/4</x:v>
      </x:c>
      <x:c r="U73" s="2" t="str">
        <x:v>results/formal_composition/C_free_compressed_sde_uniform_N4096_B64_seed102.json</x:v>
      </x:c>
      <x:c r="V73" s="2" t="str">
        <x:v>3aaaf2e66b70d7a6adf89b911eb7c70142bdefb035e2c1285269858025c4fb3e</x:v>
      </x:c>
    </x:row>
    <x:row r="74" ht="22" customHeight="1">
      <x:c r="A74" s="2" t="str">
        <x:v>C_free_compressed_sde_uniform_N4096_B64_seed103</x:v>
      </x:c>
      <x:c r="B74" s="2" t="str">
        <x:v>free_compressed</x:v>
      </x:c>
      <x:c r="C74" s="2" t="str">
        <x:v>uniform</x:v>
      </x:c>
      <x:c r="D74" s="2" t="str">
        <x:v>sde</x:v>
      </x:c>
      <x:c r="E74" s="3" t="n">
        <x:v>103</x:v>
      </x:c>
      <x:c r="F74" s="3" t="n">
        <x:v>4096</x:v>
      </x:c>
      <x:c r="G74" s="3" t="n">
        <x:v>64</x:v>
      </x:c>
      <x:c r="H74" s="3" t="n">
        <x:v>4096</x:v>
      </x:c>
      <x:c r="I74" s="3" t="n">
        <x:v>130927904</x:v>
      </x:c>
      <x:c r="J74" s="3" t="n">
        <x:v>74581764</x:v>
      </x:c>
      <x:c r="K74" s="3" t="n">
        <x:v>56346140</x:v>
      </x:c>
      <x:c r="L74" s="3" t="n">
        <x:v>25534</x:v>
      </x:c>
      <x:c r="M74" s="3" t="n">
        <x:v>37033280</x:v>
      </x:c>
      <x:c r="N74" s="3" t="n">
        <x:v>13278720</x:v>
      </x:c>
      <x:c r="O74" s="3" t="n">
        <x:v>23608716</x:v>
      </x:c>
      <x:c r="P74" s="3" t="n">
        <x:v>23608716</x:v>
      </x:c>
      <x:c r="Q74" s="3" t="n">
        <x:v>13020544</x:v>
      </x:c>
      <x:c r="R74" s="3" t="n">
        <x:v>18028800</x:v>
      </x:c>
      <x:c r="S74" s="3" t="n">
        <x:v>2349128</x:v>
      </x:c>
      <x:c r="T74" s="2" t="str">
        <x:v>4/3/4</x:v>
      </x:c>
      <x:c r="U74" s="2" t="str">
        <x:v>results/formal_composition/C_free_compressed_sde_uniform_N4096_B64_seed103.json</x:v>
      </x:c>
      <x:c r="V74" s="2" t="str">
        <x:v>902fcf30c314899999e641d213858690c960bff9ce838a3da6c48f26e72e05e6</x:v>
      </x:c>
    </x:row>
    <x:row r="75" ht="22" customHeight="1">
      <x:c r="A75" s="2" t="str">
        <x:v>C_free_compressed_sde_uniform_N4096_B64_seed104</x:v>
      </x:c>
      <x:c r="B75" s="2" t="str">
        <x:v>free_compressed</x:v>
      </x:c>
      <x:c r="C75" s="2" t="str">
        <x:v>uniform</x:v>
      </x:c>
      <x:c r="D75" s="2" t="str">
        <x:v>sde</x:v>
      </x:c>
      <x:c r="E75" s="3" t="n">
        <x:v>104</x:v>
      </x:c>
      <x:c r="F75" s="3" t="n">
        <x:v>4096</x:v>
      </x:c>
      <x:c r="G75" s="3" t="n">
        <x:v>64</x:v>
      </x:c>
      <x:c r="H75" s="3" t="n">
        <x:v>4096</x:v>
      </x:c>
      <x:c r="I75" s="3" t="n">
        <x:v>130547680</x:v>
      </x:c>
      <x:c r="J75" s="3" t="n">
        <x:v>74367056</x:v>
      </x:c>
      <x:c r="K75" s="3" t="n">
        <x:v>56180624</x:v>
      </x:c>
      <x:c r="L75" s="3" t="n">
        <x:v>25456</x:v>
      </x:c>
      <x:c r="M75" s="3" t="n">
        <x:v>36929280</x:v>
      </x:c>
      <x:c r="N75" s="3" t="n">
        <x:v>13237120</x:v>
      </x:c>
      <x:c r="O75" s="3" t="n">
        <x:v>23542416</x:v>
      </x:c>
      <x:c r="P75" s="3" t="n">
        <x:v>23542416</x:v>
      </x:c>
      <x:c r="Q75" s="3" t="n">
        <x:v>12978944</x:v>
      </x:c>
      <x:c r="R75" s="3" t="n">
        <x:v>17975552</x:v>
      </x:c>
      <x:c r="S75" s="3" t="n">
        <x:v>2341952</x:v>
      </x:c>
      <x:c r="T75" s="2" t="str">
        <x:v>4/3/4</x:v>
      </x:c>
      <x:c r="U75" s="2" t="str">
        <x:v>results/formal_composition/C_free_compressed_sde_uniform_N4096_B64_seed104.json</x:v>
      </x:c>
      <x:c r="V75" s="2" t="str">
        <x:v>e30eaa213c270a03a6da317c3176c2a888f944519febe3eab0a79e7f36851adb</x:v>
      </x:c>
    </x:row>
    <x:row r="76" ht="22" customHeight="1">
      <x:c r="A76" s="2" t="str">
        <x:v>C_free_compressed_sde_uniform_N4096_B64_seed105</x:v>
      </x:c>
      <x:c r="B76" s="2" t="str">
        <x:v>free_compressed</x:v>
      </x:c>
      <x:c r="C76" s="2" t="str">
        <x:v>uniform</x:v>
      </x:c>
      <x:c r="D76" s="2" t="str">
        <x:v>sde</x:v>
      </x:c>
      <x:c r="E76" s="3" t="n">
        <x:v>105</x:v>
      </x:c>
      <x:c r="F76" s="3" t="n">
        <x:v>4096</x:v>
      </x:c>
      <x:c r="G76" s="3" t="n">
        <x:v>64</x:v>
      </x:c>
      <x:c r="H76" s="3" t="n">
        <x:v>4096</x:v>
      </x:c>
      <x:c r="I76" s="3" t="n">
        <x:v>131113928</x:v>
      </x:c>
      <x:c r="J76" s="3" t="n">
        <x:v>74683992</x:v>
      </x:c>
      <x:c r="K76" s="3" t="n">
        <x:v>56429936</x:v>
      </x:c>
      <x:c r="L76" s="3" t="n">
        <x:v>25582</x:v>
      </x:c>
      <x:c r="M76" s="3" t="n">
        <x:v>37076480</x:v>
      </x:c>
      <x:c r="N76" s="3" t="n">
        <x:v>13303680</x:v>
      </x:c>
      <x:c r="O76" s="3" t="n">
        <x:v>23636256</x:v>
      </x:c>
      <x:c r="P76" s="3" t="n">
        <x:v>23636256</x:v>
      </x:c>
      <x:c r="Q76" s="3" t="n">
        <x:v>13050304</x:v>
      </x:c>
      <x:c r="R76" s="3" t="n">
        <x:v>18057408</x:v>
      </x:c>
      <x:c r="S76" s="3" t="n">
        <x:v>2353544</x:v>
      </x:c>
      <x:c r="T76" s="2" t="str">
        <x:v>4/3/4</x:v>
      </x:c>
      <x:c r="U76" s="2" t="str">
        <x:v>results/formal_composition/C_free_compressed_sde_uniform_N4096_B64_seed105.json</x:v>
      </x:c>
      <x:c r="V76" s="2" t="str">
        <x:v>fa8251042f00c2fa7e28a1110d63334eef848cb4ee73b77a345a52a5936bfca1</x:v>
      </x:c>
    </x:row>
    <x:row r="77" ht="22" customHeight="1">
      <x:c r="A77" s="2" t="str">
        <x:v>C_free_compressed_sde_zipf09_N4096_B64_seed101</x:v>
      </x:c>
      <x:c r="B77" s="2" t="str">
        <x:v>free_compressed</x:v>
      </x:c>
      <x:c r="C77" s="2" t="str">
        <x:v>zipf09</x:v>
      </x:c>
      <x:c r="D77" s="2" t="str">
        <x:v>sde</x:v>
      </x:c>
      <x:c r="E77" s="3" t="n">
        <x:v>101</x:v>
      </x:c>
      <x:c r="F77" s="3" t="n">
        <x:v>4096</x:v>
      </x:c>
      <x:c r="G77" s="3" t="n">
        <x:v>64</x:v>
      </x:c>
      <x:c r="H77" s="3" t="n">
        <x:v>4096</x:v>
      </x:c>
      <x:c r="I77" s="3" t="n">
        <x:v>128212976</x:v>
      </x:c>
      <x:c r="J77" s="3" t="n">
        <x:v>73037320</x:v>
      </x:c>
      <x:c r="K77" s="3" t="n">
        <x:v>55175656</x:v>
      </x:c>
      <x:c r="L77" s="3" t="n">
        <x:v>25000</x:v>
      </x:c>
      <x:c r="M77" s="3" t="n">
        <x:v>36269440</x:v>
      </x:c>
      <x:c r="N77" s="3" t="n">
        <x:v>13000000</x:v>
      </x:c>
      <x:c r="O77" s="3" t="n">
        <x:v>23121768</x:v>
      </x:c>
      <x:c r="P77" s="3" t="n">
        <x:v>23121768</x:v>
      </x:c>
      <x:c r="Q77" s="3" t="n">
        <x:v>12746112</x:v>
      </x:c>
      <x:c r="R77" s="3" t="n">
        <x:v>17653888</x:v>
      </x:c>
      <x:c r="S77" s="3" t="n">
        <x:v>2300000</x:v>
      </x:c>
      <x:c r="T77" s="2" t="str">
        <x:v>4/3/4</x:v>
      </x:c>
      <x:c r="U77" s="2" t="str">
        <x:v>results/formal_composition/C_free_compressed_sde_zipf09_N4096_B64_seed101.json</x:v>
      </x:c>
      <x:c r="V77" s="2" t="str">
        <x:v>3e30901ff58460469e362ef2b2acbdd53605545a04f453ddd9a53b46ce01e26e</x:v>
      </x:c>
    </x:row>
    <x:row r="78" ht="22" customHeight="1">
      <x:c r="A78" s="2" t="str">
        <x:v>C_free_compressed_sde_zipf09_N4096_B64_seed102</x:v>
      </x:c>
      <x:c r="B78" s="2" t="str">
        <x:v>free_compressed</x:v>
      </x:c>
      <x:c r="C78" s="2" t="str">
        <x:v>zipf09</x:v>
      </x:c>
      <x:c r="D78" s="2" t="str">
        <x:v>sde</x:v>
      </x:c>
      <x:c r="E78" s="3" t="n">
        <x:v>102</x:v>
      </x:c>
      <x:c r="F78" s="3" t="n">
        <x:v>4096</x:v>
      </x:c>
      <x:c r="G78" s="3" t="n">
        <x:v>64</x:v>
      </x:c>
      <x:c r="H78" s="3" t="n">
        <x:v>4096</x:v>
      </x:c>
      <x:c r="I78" s="3" t="n">
        <x:v>128579136</x:v>
      </x:c>
      <x:c r="J78" s="3" t="n">
        <x:v>73240608</x:v>
      </x:c>
      <x:c r="K78" s="3" t="n">
        <x:v>55338528</x:v>
      </x:c>
      <x:c r="L78" s="3" t="n">
        <x:v>25088</x:v>
      </x:c>
      <x:c r="M78" s="3" t="n">
        <x:v>36359680</x:v>
      </x:c>
      <x:c r="N78" s="3" t="n">
        <x:v>13045760</x:v>
      </x:c>
      <x:c r="O78" s="3" t="n">
        <x:v>23179296</x:v>
      </x:c>
      <x:c r="P78" s="3" t="n">
        <x:v>23179296</x:v>
      </x:c>
      <x:c r="Q78" s="3" t="n">
        <x:v>12798464</x:v>
      </x:c>
      <x:c r="R78" s="3" t="n">
        <x:v>17708544</x:v>
      </x:c>
      <x:c r="S78" s="3" t="n">
        <x:v>2308096</x:v>
      </x:c>
      <x:c r="T78" s="2" t="str">
        <x:v>4/3/4</x:v>
      </x:c>
      <x:c r="U78" s="2" t="str">
        <x:v>results/formal_composition/C_free_compressed_sde_zipf09_N4096_B64_seed102.json</x:v>
      </x:c>
      <x:c r="V78" s="2" t="str">
        <x:v>3a33f11c856003232ea913853a2c9a335ed513549aa8e7aed65853db1c248488</x:v>
      </x:c>
    </x:row>
    <x:row r="79" ht="22" customHeight="1">
      <x:c r="A79" s="2" t="str">
        <x:v>C_free_compressed_sde_zipf09_N4096_B64_seed103</x:v>
      </x:c>
      <x:c r="B79" s="2" t="str">
        <x:v>free_compressed</x:v>
      </x:c>
      <x:c r="C79" s="2" t="str">
        <x:v>zipf09</x:v>
      </x:c>
      <x:c r="D79" s="2" t="str">
        <x:v>sde</x:v>
      </x:c>
      <x:c r="E79" s="3" t="n">
        <x:v>103</x:v>
      </x:c>
      <x:c r="F79" s="3" t="n">
        <x:v>4096</x:v>
      </x:c>
      <x:c r="G79" s="3" t="n">
        <x:v>64</x:v>
      </x:c>
      <x:c r="H79" s="3" t="n">
        <x:v>4096</x:v>
      </x:c>
      <x:c r="I79" s="3" t="n">
        <x:v>128324360</x:v>
      </x:c>
      <x:c r="J79" s="3" t="n">
        <x:v>73107700</x:v>
      </x:c>
      <x:c r="K79" s="3" t="n">
        <x:v>55216660</x:v>
      </x:c>
      <x:c r="L79" s="3" t="n">
        <x:v>25000</x:v>
      </x:c>
      <x:c r="M79" s="3" t="n">
        <x:v>36318400</x:v>
      </x:c>
      <x:c r="N79" s="3" t="n">
        <x:v>13000000</x:v>
      </x:c>
      <x:c r="O79" s="3" t="n">
        <x:v>23152980</x:v>
      </x:c>
      <x:c r="P79" s="3" t="n">
        <x:v>23152980</x:v>
      </x:c>
      <x:c r="Q79" s="3" t="n">
        <x:v>12736320</x:v>
      </x:c>
      <x:c r="R79" s="3" t="n">
        <x:v>17663680</x:v>
      </x:c>
      <x:c r="S79" s="3" t="n">
        <x:v>2300000</x:v>
      </x:c>
      <x:c r="T79" s="2" t="str">
        <x:v>4/3/4</x:v>
      </x:c>
      <x:c r="U79" s="2" t="str">
        <x:v>results/formal_composition/C_free_compressed_sde_zipf09_N4096_B64_seed103.json</x:v>
      </x:c>
      <x:c r="V79" s="2" t="str">
        <x:v>9ad5ed760cc34f636b83694dd0459e0a2e0d531a2f85cdd3500e48c1f3bb8018</x:v>
      </x:c>
    </x:row>
    <x:row r="80" ht="22" customHeight="1">
      <x:c r="A80" s="2" t="str">
        <x:v>C_free_compressed_sde_zipf09_N4096_B64_seed104</x:v>
      </x:c>
      <x:c r="B80" s="2" t="str">
        <x:v>free_compressed</x:v>
      </x:c>
      <x:c r="C80" s="2" t="str">
        <x:v>zipf09</x:v>
      </x:c>
      <x:c r="D80" s="2" t="str">
        <x:v>sde</x:v>
      </x:c>
      <x:c r="E80" s="3" t="n">
        <x:v>104</x:v>
      </x:c>
      <x:c r="F80" s="3" t="n">
        <x:v>4096</x:v>
      </x:c>
      <x:c r="G80" s="3" t="n">
        <x:v>64</x:v>
      </x:c>
      <x:c r="H80" s="3" t="n">
        <x:v>4096</x:v>
      </x:c>
      <x:c r="I80" s="3" t="n">
        <x:v>127626408</x:v>
      </x:c>
      <x:c r="J80" s="3" t="n">
        <x:v>72704992</x:v>
      </x:c>
      <x:c r="K80" s="3" t="n">
        <x:v>54921416</x:v>
      </x:c>
      <x:c r="L80" s="3" t="n">
        <x:v>24882</x:v>
      </x:c>
      <x:c r="M80" s="3" t="n">
        <x:v>36106880</x:v>
      </x:c>
      <x:c r="N80" s="3" t="n">
        <x:v>12937600</x:v>
      </x:c>
      <x:c r="O80" s="3" t="n">
        <x:v>23018136</x:v>
      </x:c>
      <x:c r="P80" s="3" t="n">
        <x:v>23018136</x:v>
      </x:c>
      <x:c r="Q80" s="3" t="n">
        <x:v>12684224</x:v>
      </x:c>
      <x:c r="R80" s="3" t="n">
        <x:v>17572288</x:v>
      </x:c>
      <x:c r="S80" s="3" t="n">
        <x:v>2289144</x:v>
      </x:c>
      <x:c r="T80" s="2" t="str">
        <x:v>4/3/4</x:v>
      </x:c>
      <x:c r="U80" s="2" t="str">
        <x:v>results/formal_composition/C_free_compressed_sde_zipf09_N4096_B64_seed104.json</x:v>
      </x:c>
      <x:c r="V80" s="2" t="str">
        <x:v>20fdbb2707dc4deba4602dde855c5bb7f1e313b745a27ef2baa28d865d27198d</x:v>
      </x:c>
    </x:row>
    <x:row r="81" ht="22" customHeight="1">
      <x:c r="A81" s="2" t="str">
        <x:v>C_free_compressed_sde_zipf09_N4096_B64_seed105</x:v>
      </x:c>
      <x:c r="B81" s="2" t="str">
        <x:v>free_compressed</x:v>
      </x:c>
      <x:c r="C81" s="2" t="str">
        <x:v>zipf09</x:v>
      </x:c>
      <x:c r="D81" s="2" t="str">
        <x:v>sde</x:v>
      </x:c>
      <x:c r="E81" s="3" t="n">
        <x:v>105</x:v>
      </x:c>
      <x:c r="F81" s="3" t="n">
        <x:v>4096</x:v>
      </x:c>
      <x:c r="G81" s="3" t="n">
        <x:v>64</x:v>
      </x:c>
      <x:c r="H81" s="3" t="n">
        <x:v>4096</x:v>
      </x:c>
      <x:c r="I81" s="3" t="n">
        <x:v>128486000</x:v>
      </x:c>
      <x:c r="J81" s="3" t="n">
        <x:v>73197092</x:v>
      </x:c>
      <x:c r="K81" s="3" t="n">
        <x:v>55288908</x:v>
      </x:c>
      <x:c r="L81" s="3" t="n">
        <x:v>25042</x:v>
      </x:c>
      <x:c r="M81" s="3" t="n">
        <x:v>36356160</x:v>
      </x:c>
      <x:c r="N81" s="3" t="n">
        <x:v>13020800</x:v>
      </x:c>
      <x:c r="O81" s="3" t="n">
        <x:v>23177052</x:v>
      </x:c>
      <x:c r="P81" s="3" t="n">
        <x:v>23177052</x:v>
      </x:c>
      <x:c r="Q81" s="3" t="n">
        <x:v>12762368</x:v>
      </x:c>
      <x:c r="R81" s="3" t="n">
        <x:v>17688704</x:v>
      </x:c>
      <x:c r="S81" s="3" t="n">
        <x:v>2303864</x:v>
      </x:c>
      <x:c r="T81" s="2" t="str">
        <x:v>4/3/4</x:v>
      </x:c>
      <x:c r="U81" s="2" t="str">
        <x:v>results/formal_composition/C_free_compressed_sde_zipf09_N4096_B64_seed105.json</x:v>
      </x:c>
      <x:c r="V81" s="2" t="str">
        <x:v>620b85d1a85af511015e6df241b3d62d8efb63bd436b9308aead399164b6fe86</x:v>
      </x:c>
    </x:row>
    <x:row r="82" ht="22" customHeight="1">
      <x:c r="A82" s="2" t="str">
        <x:v>C_free_raw_deferred_hot90_N4096_B64_seed101</x:v>
      </x:c>
      <x:c r="B82" s="2" t="str">
        <x:v>free_raw</x:v>
      </x:c>
      <x:c r="C82" s="2" t="str">
        <x:v>hot90</x:v>
      </x:c>
      <x:c r="D82" s="2" t="str">
        <x:v>deferred</x:v>
      </x:c>
      <x:c r="E82" s="3" t="n">
        <x:v>101</x:v>
      </x:c>
      <x:c r="F82" s="3" t="n">
        <x:v>4096</x:v>
      </x:c>
      <x:c r="G82" s="3" t="n">
        <x:v>64</x:v>
      </x:c>
      <x:c r="H82" s="3" t="n">
        <x:v>4096</x:v>
      </x:c>
      <x:c r="I82" s="3" t="n">
        <x:v>189388240</x:v>
      </x:c>
      <x:c r="J82" s="3" t="n">
        <x:v>110456620</x:v>
      </x:c>
      <x:c r="K82" s="3" t="n">
        <x:v>78931620</x:v>
      </x:c>
      <x:c r="L82" s="3" t="n">
        <x:v>28870</x:v>
      </x:c>
      <x:c r="M82" s="3" t="n">
        <x:v>60049600</x:v>
      </x:c>
      <x:c r="N82" s="3" t="n">
        <x:v>15013440</x:v>
      </x:c>
      <x:c r="O82" s="3" t="n">
        <x:v>38281620</x:v>
      </x:c>
      <x:c r="P82" s="3" t="n">
        <x:v>38281620</x:v>
      </x:c>
      <x:c r="Q82" s="3" t="n">
        <x:v>11086080</x:v>
      </x:c>
      <x:c r="R82" s="3" t="n">
        <x:v>24019840</x:v>
      </x:c>
      <x:c r="S82" s="3" t="n">
        <x:v>2656040</x:v>
      </x:c>
      <x:c r="T82" s="2" t="str">
        <x:v>4/3/4</x:v>
      </x:c>
      <x:c r="U82" s="2" t="str">
        <x:v>results/formal_composition/C_free_raw_deferred_hot90_N4096_B64_seed101.json</x:v>
      </x:c>
      <x:c r="V82" s="2" t="str">
        <x:v>47eabde6b649498b99274fdcb13ac6a14435e21ca4148cb0599382f31cfb57de</x:v>
      </x:c>
    </x:row>
    <x:row r="83" ht="22" customHeight="1">
      <x:c r="A83" s="2" t="str">
        <x:v>C_free_raw_deferred_hot90_N4096_B64_seed102</x:v>
      </x:c>
      <x:c r="B83" s="2" t="str">
        <x:v>free_raw</x:v>
      </x:c>
      <x:c r="C83" s="2" t="str">
        <x:v>hot90</x:v>
      </x:c>
      <x:c r="D83" s="2" t="str">
        <x:v>deferred</x:v>
      </x:c>
      <x:c r="E83" s="3" t="n">
        <x:v>102</x:v>
      </x:c>
      <x:c r="F83" s="3" t="n">
        <x:v>4096</x:v>
      </x:c>
      <x:c r="G83" s="3" t="n">
        <x:v>64</x:v>
      </x:c>
      <x:c r="H83" s="3" t="n">
        <x:v>4096</x:v>
      </x:c>
      <x:c r="I83" s="3" t="n">
        <x:v>189061280</x:v>
      </x:c>
      <x:c r="J83" s="3" t="n">
        <x:v>110265320</x:v>
      </x:c>
      <x:c r="K83" s="3" t="n">
        <x:v>78795960</x:v>
      </x:c>
      <x:c r="L83" s="3" t="n">
        <x:v>28820</x:v>
      </x:c>
      <x:c r="M83" s="3" t="n">
        <x:v>59945600</x:v>
      </x:c>
      <x:c r="N83" s="3" t="n">
        <x:v>14988480</x:v>
      </x:c>
      <x:c r="O83" s="3" t="n">
        <x:v>38215320</x:v>
      </x:c>
      <x:c r="P83" s="3" t="n">
        <x:v>38215320</x:v>
      </x:c>
      <x:c r="Q83" s="3" t="n">
        <x:v>11066880</x:v>
      </x:c>
      <x:c r="R83" s="3" t="n">
        <x:v>23978240</x:v>
      </x:c>
      <x:c r="S83" s="3" t="n">
        <x:v>2651440</x:v>
      </x:c>
      <x:c r="T83" s="2" t="str">
        <x:v>4/3/4</x:v>
      </x:c>
      <x:c r="U83" s="2" t="str">
        <x:v>results/formal_composition/C_free_raw_deferred_hot90_N4096_B64_seed102.json</x:v>
      </x:c>
      <x:c r="V83" s="2" t="str">
        <x:v>58c2f44ba04b75956d236b3c2fa04778c8016099c4f6170950ac90943c6ae153</x:v>
      </x:c>
    </x:row>
    <x:row r="84" ht="22" customHeight="1">
      <x:c r="A84" s="2" t="str">
        <x:v>C_free_raw_deferred_hot90_N4096_B64_seed103</x:v>
      </x:c>
      <x:c r="B84" s="2" t="str">
        <x:v>free_raw</x:v>
      </x:c>
      <x:c r="C84" s="2" t="str">
        <x:v>hot90</x:v>
      </x:c>
      <x:c r="D84" s="2" t="str">
        <x:v>deferred</x:v>
      </x:c>
      <x:c r="E84" s="3" t="n">
        <x:v>103</x:v>
      </x:c>
      <x:c r="F84" s="3" t="n">
        <x:v>4096</x:v>
      </x:c>
      <x:c r="G84" s="3" t="n">
        <x:v>64</x:v>
      </x:c>
      <x:c r="H84" s="3" t="n">
        <x:v>4096</x:v>
      </x:c>
      <x:c r="I84" s="3" t="n">
        <x:v>189388240</x:v>
      </x:c>
      <x:c r="J84" s="3" t="n">
        <x:v>110456620</x:v>
      </x:c>
      <x:c r="K84" s="3" t="n">
        <x:v>78931620</x:v>
      </x:c>
      <x:c r="L84" s="3" t="n">
        <x:v>28870</x:v>
      </x:c>
      <x:c r="M84" s="3" t="n">
        <x:v>60049600</x:v>
      </x:c>
      <x:c r="N84" s="3" t="n">
        <x:v>15013440</x:v>
      </x:c>
      <x:c r="O84" s="3" t="n">
        <x:v>38281620</x:v>
      </x:c>
      <x:c r="P84" s="3" t="n">
        <x:v>38281620</x:v>
      </x:c>
      <x:c r="Q84" s="3" t="n">
        <x:v>11086080</x:v>
      </x:c>
      <x:c r="R84" s="3" t="n">
        <x:v>24019840</x:v>
      </x:c>
      <x:c r="S84" s="3" t="n">
        <x:v>2656040</x:v>
      </x:c>
      <x:c r="T84" s="2" t="str">
        <x:v>4/3/4</x:v>
      </x:c>
      <x:c r="U84" s="2" t="str">
        <x:v>results/formal_composition/C_free_raw_deferred_hot90_N4096_B64_seed103.json</x:v>
      </x:c>
      <x:c r="V84" s="2" t="str">
        <x:v>6c81202b2806d0c48c02bc04eec2706c79bea4f59cae8330b27e63fb5404112b</x:v>
      </x:c>
    </x:row>
    <x:row r="85" ht="22" customHeight="1">
      <x:c r="A85" s="2" t="str">
        <x:v>C_free_raw_deferred_hot90_N4096_B64_seed104</x:v>
      </x:c>
      <x:c r="B85" s="2" t="str">
        <x:v>free_raw</x:v>
      </x:c>
      <x:c r="C85" s="2" t="str">
        <x:v>hot90</x:v>
      </x:c>
      <x:c r="D85" s="2" t="str">
        <x:v>deferred</x:v>
      </x:c>
      <x:c r="E85" s="3" t="n">
        <x:v>104</x:v>
      </x:c>
      <x:c r="F85" s="3" t="n">
        <x:v>4096</x:v>
      </x:c>
      <x:c r="G85" s="3" t="n">
        <x:v>64</x:v>
      </x:c>
      <x:c r="H85" s="3" t="n">
        <x:v>4096</x:v>
      </x:c>
      <x:c r="I85" s="3" t="n">
        <x:v>191079680</x:v>
      </x:c>
      <x:c r="J85" s="3" t="n">
        <x:v>111443728</x:v>
      </x:c>
      <x:c r="K85" s="3" t="n">
        <x:v>79635952</x:v>
      </x:c>
      <x:c r="L85" s="3" t="n">
        <x:v>29128</x:v>
      </x:c>
      <x:c r="M85" s="3" t="n">
        <x:v>60586240</x:v>
      </x:c>
      <x:c r="N85" s="3" t="n">
        <x:v>15146560</x:v>
      </x:c>
      <x:c r="O85" s="3" t="n">
        <x:v>38623728</x:v>
      </x:c>
      <x:c r="P85" s="3" t="n">
        <x:v>38623728</x:v>
      </x:c>
      <x:c r="Q85" s="3" t="n">
        <x:v>11185152</x:v>
      </x:c>
      <x:c r="R85" s="3" t="n">
        <x:v>24234496</x:v>
      </x:c>
      <x:c r="S85" s="3" t="n">
        <x:v>2679776</x:v>
      </x:c>
      <x:c r="T85" s="2" t="str">
        <x:v>4/3/4</x:v>
      </x:c>
      <x:c r="U85" s="2" t="str">
        <x:v>results/formal_composition/C_free_raw_deferred_hot90_N4096_B64_seed104.json</x:v>
      </x:c>
      <x:c r="V85" s="2" t="str">
        <x:v>d60962e080b857cb39adaae93a5208f53a446fac5300863c8a1c281030149ab8</x:v>
      </x:c>
    </x:row>
    <x:row r="86" ht="22" customHeight="1">
      <x:c r="A86" s="2" t="str">
        <x:v>C_free_raw_deferred_hot90_N4096_B64_seed105</x:v>
      </x:c>
      <x:c r="B86" s="2" t="str">
        <x:v>free_raw</x:v>
      </x:c>
      <x:c r="C86" s="2" t="str">
        <x:v>hot90</x:v>
      </x:c>
      <x:c r="D86" s="2" t="str">
        <x:v>deferred</x:v>
      </x:c>
      <x:c r="E86" s="3" t="n">
        <x:v>105</x:v>
      </x:c>
      <x:c r="F86" s="3" t="n">
        <x:v>4096</x:v>
      </x:c>
      <x:c r="G86" s="3" t="n">
        <x:v>64</x:v>
      </x:c>
      <x:c r="H86" s="3" t="n">
        <x:v>4096</x:v>
      </x:c>
      <x:c r="I86" s="3" t="n">
        <x:v>190462000</x:v>
      </x:c>
      <x:c r="J86" s="3" t="n">
        <x:v>111084084</x:v>
      </x:c>
      <x:c r="K86" s="3" t="n">
        <x:v>79377916</x:v>
      </x:c>
      <x:c r="L86" s="3" t="n">
        <x:v>29034</x:v>
      </x:c>
      <x:c r="M86" s="3" t="n">
        <x:v>60390720</x:v>
      </x:c>
      <x:c r="N86" s="3" t="n">
        <x:v>15096640</x:v>
      </x:c>
      <x:c r="O86" s="3" t="n">
        <x:v>38499084</x:v>
      </x:c>
      <x:c r="P86" s="3" t="n">
        <x:v>38499084</x:v>
      </x:c>
      <x:c r="Q86" s="3" t="n">
        <x:v>11149056</x:v>
      </x:c>
      <x:c r="R86" s="3" t="n">
        <x:v>24156288</x:v>
      </x:c>
      <x:c r="S86" s="3" t="n">
        <x:v>2671128</x:v>
      </x:c>
      <x:c r="T86" s="2" t="str">
        <x:v>4/3/4</x:v>
      </x:c>
      <x:c r="U86" s="2" t="str">
        <x:v>results/formal_composition/C_free_raw_deferred_hot90_N4096_B64_seed105.json</x:v>
      </x:c>
      <x:c r="V86" s="2" t="str">
        <x:v>c1682948597e4a98061c53414171b936165dd815890341940ce7dee804a53ae7</x:v>
      </x:c>
    </x:row>
    <x:row r="87" ht="22" customHeight="1">
      <x:c r="A87" s="2" t="str">
        <x:v>C_free_raw_deferred_scan_N4096_B64_seed101</x:v>
      </x:c>
      <x:c r="B87" s="2" t="str">
        <x:v>free_raw</x:v>
      </x:c>
      <x:c r="C87" s="2" t="str">
        <x:v>scan</x:v>
      </x:c>
      <x:c r="D87" s="2" t="str">
        <x:v>deferred</x:v>
      </x:c>
      <x:c r="E87" s="3" t="n">
        <x:v>101</x:v>
      </x:c>
      <x:c r="F87" s="3" t="n">
        <x:v>4096</x:v>
      </x:c>
      <x:c r="G87" s="3" t="n">
        <x:v>64</x:v>
      </x:c>
      <x:c r="H87" s="3" t="n">
        <x:v>4096</x:v>
      </x:c>
      <x:c r="I87" s="3" t="n">
        <x:v>76685360</x:v>
      </x:c>
      <x:c r="J87" s="3" t="n">
        <x:v>44725940</x:v>
      </x:c>
      <x:c r="K87" s="3" t="n">
        <x:v>31959420</x:v>
      </x:c>
      <x:c r="L87" s="3" t="n">
        <x:v>11690</x:v>
      </x:c>
      <x:c r="M87" s="3" t="n">
        <x:v>24315200</x:v>
      </x:c>
      <x:c r="N87" s="3" t="n">
        <x:v>6077760</x:v>
      </x:c>
      <x:c r="O87" s="3" t="n">
        <x:v>15500940</x:v>
      </x:c>
      <x:c r="P87" s="3" t="n">
        <x:v>15500940</x:v>
      </x:c>
      <x:c r="Q87" s="3" t="n">
        <x:v>4488960</x:v>
      </x:c>
      <x:c r="R87" s="3" t="n">
        <x:v>9726080</x:v>
      </x:c>
      <x:c r="S87" s="3" t="n">
        <x:v>1075480</x:v>
      </x:c>
      <x:c r="T87" s="2" t="str">
        <x:v>4/3/4</x:v>
      </x:c>
      <x:c r="U87" s="2" t="str">
        <x:v>results/formal_composition/C_free_raw_deferred_scan_N4096_B64_seed101.json</x:v>
      </x:c>
      <x:c r="V87" s="2" t="str">
        <x:v>674c4d06dad89e59c49f7d35aec65ec59c1e48204837e0c85154c144d60061b4</x:v>
      </x:c>
    </x:row>
    <x:row r="88" ht="22" customHeight="1">
      <x:c r="A88" s="2" t="str">
        <x:v>C_free_raw_deferred_scan_N4096_B64_seed102</x:v>
      </x:c>
      <x:c r="B88" s="2" t="str">
        <x:v>free_raw</x:v>
      </x:c>
      <x:c r="C88" s="2" t="str">
        <x:v>scan</x:v>
      </x:c>
      <x:c r="D88" s="2" t="str">
        <x:v>deferred</x:v>
      </x:c>
      <x:c r="E88" s="3" t="n">
        <x:v>102</x:v>
      </x:c>
      <x:c r="F88" s="3" t="n">
        <x:v>4096</x:v>
      </x:c>
      <x:c r="G88" s="3" t="n">
        <x:v>64</x:v>
      </x:c>
      <x:c r="H88" s="3" t="n">
        <x:v>4096</x:v>
      </x:c>
      <x:c r="I88" s="3" t="n">
        <x:v>76685360</x:v>
      </x:c>
      <x:c r="J88" s="3" t="n">
        <x:v>44725940</x:v>
      </x:c>
      <x:c r="K88" s="3" t="n">
        <x:v>31959420</x:v>
      </x:c>
      <x:c r="L88" s="3" t="n">
        <x:v>11690</x:v>
      </x:c>
      <x:c r="M88" s="3" t="n">
        <x:v>24315200</x:v>
      </x:c>
      <x:c r="N88" s="3" t="n">
        <x:v>6077760</x:v>
      </x:c>
      <x:c r="O88" s="3" t="n">
        <x:v>15500940</x:v>
      </x:c>
      <x:c r="P88" s="3" t="n">
        <x:v>15500940</x:v>
      </x:c>
      <x:c r="Q88" s="3" t="n">
        <x:v>4488960</x:v>
      </x:c>
      <x:c r="R88" s="3" t="n">
        <x:v>9726080</x:v>
      </x:c>
      <x:c r="S88" s="3" t="n">
        <x:v>1075480</x:v>
      </x:c>
      <x:c r="T88" s="2" t="str">
        <x:v>4/3/4</x:v>
      </x:c>
      <x:c r="U88" s="2" t="str">
        <x:v>results/formal_composition/C_free_raw_deferred_scan_N4096_B64_seed102.json</x:v>
      </x:c>
      <x:c r="V88" s="2" t="str">
        <x:v>114ad7432452fab6ee4486a64689458303db0103203c5b886cf06fa09a57074d</x:v>
      </x:c>
    </x:row>
    <x:row r="89" ht="22" customHeight="1">
      <x:c r="A89" s="2" t="str">
        <x:v>C_free_raw_deferred_scan_N4096_B64_seed103</x:v>
      </x:c>
      <x:c r="B89" s="2" t="str">
        <x:v>free_raw</x:v>
      </x:c>
      <x:c r="C89" s="2" t="str">
        <x:v>scan</x:v>
      </x:c>
      <x:c r="D89" s="2" t="str">
        <x:v>deferred</x:v>
      </x:c>
      <x:c r="E89" s="3" t="n">
        <x:v>103</x:v>
      </x:c>
      <x:c r="F89" s="3" t="n">
        <x:v>4096</x:v>
      </x:c>
      <x:c r="G89" s="3" t="n">
        <x:v>64</x:v>
      </x:c>
      <x:c r="H89" s="3" t="n">
        <x:v>4096</x:v>
      </x:c>
      <x:c r="I89" s="3" t="n">
        <x:v>76685360</x:v>
      </x:c>
      <x:c r="J89" s="3" t="n">
        <x:v>44725940</x:v>
      </x:c>
      <x:c r="K89" s="3" t="n">
        <x:v>31959420</x:v>
      </x:c>
      <x:c r="L89" s="3" t="n">
        <x:v>11690</x:v>
      </x:c>
      <x:c r="M89" s="3" t="n">
        <x:v>24315200</x:v>
      </x:c>
      <x:c r="N89" s="3" t="n">
        <x:v>6077760</x:v>
      </x:c>
      <x:c r="O89" s="3" t="n">
        <x:v>15500940</x:v>
      </x:c>
      <x:c r="P89" s="3" t="n">
        <x:v>15500940</x:v>
      </x:c>
      <x:c r="Q89" s="3" t="n">
        <x:v>4488960</x:v>
      </x:c>
      <x:c r="R89" s="3" t="n">
        <x:v>9726080</x:v>
      </x:c>
      <x:c r="S89" s="3" t="n">
        <x:v>1075480</x:v>
      </x:c>
      <x:c r="T89" s="2" t="str">
        <x:v>4/3/4</x:v>
      </x:c>
      <x:c r="U89" s="2" t="str">
        <x:v>results/formal_composition/C_free_raw_deferred_scan_N4096_B64_seed103.json</x:v>
      </x:c>
      <x:c r="V89" s="2" t="str">
        <x:v>f63b628c94cd33eeb6a99b0ba482b362237aa24e59b2c59fefb4e72977c852e3</x:v>
      </x:c>
    </x:row>
    <x:row r="90" ht="22" customHeight="1">
      <x:c r="A90" s="2" t="str">
        <x:v>C_free_raw_deferred_scan_N4096_B64_seed104</x:v>
      </x:c>
      <x:c r="B90" s="2" t="str">
        <x:v>free_raw</x:v>
      </x:c>
      <x:c r="C90" s="2" t="str">
        <x:v>scan</x:v>
      </x:c>
      <x:c r="D90" s="2" t="str">
        <x:v>deferred</x:v>
      </x:c>
      <x:c r="E90" s="3" t="n">
        <x:v>104</x:v>
      </x:c>
      <x:c r="F90" s="3" t="n">
        <x:v>4096</x:v>
      </x:c>
      <x:c r="G90" s="3" t="n">
        <x:v>64</x:v>
      </x:c>
      <x:c r="H90" s="3" t="n">
        <x:v>4096</x:v>
      </x:c>
      <x:c r="I90" s="3" t="n">
        <x:v>76685360</x:v>
      </x:c>
      <x:c r="J90" s="3" t="n">
        <x:v>44725940</x:v>
      </x:c>
      <x:c r="K90" s="3" t="n">
        <x:v>31959420</x:v>
      </x:c>
      <x:c r="L90" s="3" t="n">
        <x:v>11690</x:v>
      </x:c>
      <x:c r="M90" s="3" t="n">
        <x:v>24315200</x:v>
      </x:c>
      <x:c r="N90" s="3" t="n">
        <x:v>6077760</x:v>
      </x:c>
      <x:c r="O90" s="3" t="n">
        <x:v>15500940</x:v>
      </x:c>
      <x:c r="P90" s="3" t="n">
        <x:v>15500940</x:v>
      </x:c>
      <x:c r="Q90" s="3" t="n">
        <x:v>4488960</x:v>
      </x:c>
      <x:c r="R90" s="3" t="n">
        <x:v>9726080</x:v>
      </x:c>
      <x:c r="S90" s="3" t="n">
        <x:v>1075480</x:v>
      </x:c>
      <x:c r="T90" s="2" t="str">
        <x:v>4/3/4</x:v>
      </x:c>
      <x:c r="U90" s="2" t="str">
        <x:v>results/formal_composition/C_free_raw_deferred_scan_N4096_B64_seed104.json</x:v>
      </x:c>
      <x:c r="V90" s="2" t="str">
        <x:v>6cf0db362df53b1e647180c8035aa074163467d55056a1a52aaee422a261b0e9</x:v>
      </x:c>
    </x:row>
    <x:row r="91" ht="22" customHeight="1">
      <x:c r="A91" s="2" t="str">
        <x:v>C_free_raw_deferred_scan_N4096_B64_seed105</x:v>
      </x:c>
      <x:c r="B91" s="2" t="str">
        <x:v>free_raw</x:v>
      </x:c>
      <x:c r="C91" s="2" t="str">
        <x:v>scan</x:v>
      </x:c>
      <x:c r="D91" s="2" t="str">
        <x:v>deferred</x:v>
      </x:c>
      <x:c r="E91" s="3" t="n">
        <x:v>105</x:v>
      </x:c>
      <x:c r="F91" s="3" t="n">
        <x:v>4096</x:v>
      </x:c>
      <x:c r="G91" s="3" t="n">
        <x:v>64</x:v>
      </x:c>
      <x:c r="H91" s="3" t="n">
        <x:v>4096</x:v>
      </x:c>
      <x:c r="I91" s="3" t="n">
        <x:v>76685360</x:v>
      </x:c>
      <x:c r="J91" s="3" t="n">
        <x:v>44725940</x:v>
      </x:c>
      <x:c r="K91" s="3" t="n">
        <x:v>31959420</x:v>
      </x:c>
      <x:c r="L91" s="3" t="n">
        <x:v>11690</x:v>
      </x:c>
      <x:c r="M91" s="3" t="n">
        <x:v>24315200</x:v>
      </x:c>
      <x:c r="N91" s="3" t="n">
        <x:v>6077760</x:v>
      </x:c>
      <x:c r="O91" s="3" t="n">
        <x:v>15500940</x:v>
      </x:c>
      <x:c r="P91" s="3" t="n">
        <x:v>15500940</x:v>
      </x:c>
      <x:c r="Q91" s="3" t="n">
        <x:v>4488960</x:v>
      </x:c>
      <x:c r="R91" s="3" t="n">
        <x:v>9726080</x:v>
      </x:c>
      <x:c r="S91" s="3" t="n">
        <x:v>1075480</x:v>
      </x:c>
      <x:c r="T91" s="2" t="str">
        <x:v>4/3/4</x:v>
      </x:c>
      <x:c r="U91" s="2" t="str">
        <x:v>results/formal_composition/C_free_raw_deferred_scan_N4096_B64_seed105.json</x:v>
      </x:c>
      <x:c r="V91" s="2" t="str">
        <x:v>76ee4b3d8a51be096321de234f4df49f1a551947a9ec9e61003a67639746d483</x:v>
      </x:c>
    </x:row>
    <x:row r="92" ht="22" customHeight="1">
      <x:c r="A92" s="2" t="str">
        <x:v>C_free_raw_deferred_uniform_N4096_B64_seed101</x:v>
      </x:c>
      <x:c r="B92" s="2" t="str">
        <x:v>free_raw</x:v>
      </x:c>
      <x:c r="C92" s="2" t="str">
        <x:v>uniform</x:v>
      </x:c>
      <x:c r="D92" s="2" t="str">
        <x:v>deferred</x:v>
      </x:c>
      <x:c r="E92" s="3" t="n">
        <x:v>101</x:v>
      </x:c>
      <x:c r="F92" s="3" t="n">
        <x:v>4096</x:v>
      </x:c>
      <x:c r="G92" s="3" t="n">
        <x:v>64</x:v>
      </x:c>
      <x:c r="H92" s="3" t="n">
        <x:v>4096</x:v>
      </x:c>
      <x:c r="I92" s="3" t="n">
        <x:v>200974240</x:v>
      </x:c>
      <x:c r="J92" s="3" t="n">
        <x:v>117213336</x:v>
      </x:c>
      <x:c r="K92" s="3" t="n">
        <x:v>83760904</x:v>
      </x:c>
      <x:c r="L92" s="3" t="n">
        <x:v>30636</x:v>
      </x:c>
      <x:c r="M92" s="3" t="n">
        <x:v>63722880</x:v>
      </x:c>
      <x:c r="N92" s="3" t="n">
        <x:v>15932800</x:v>
      </x:c>
      <x:c r="O92" s="3" t="n">
        <x:v>40623336</x:v>
      </x:c>
      <x:c r="P92" s="3" t="n">
        <x:v>40623336</x:v>
      </x:c>
      <x:c r="Q92" s="3" t="n">
        <x:v>11764224</x:v>
      </x:c>
      <x:c r="R92" s="3" t="n">
        <x:v>25489152</x:v>
      </x:c>
      <x:c r="S92" s="3" t="n">
        <x:v>2818512</x:v>
      </x:c>
      <x:c r="T92" s="2" t="str">
        <x:v>4/3/4</x:v>
      </x:c>
      <x:c r="U92" s="2" t="str">
        <x:v>results/formal_composition/C_free_raw_deferred_uniform_N4096_B64_seed101.json</x:v>
      </x:c>
      <x:c r="V92" s="2" t="str">
        <x:v>0d3bdeffee583ab36f80f43339bfa1c2f30dfd45ba6ccdf320d2640b672a5ede</x:v>
      </x:c>
    </x:row>
    <x:row r="93" ht="22" customHeight="1">
      <x:c r="A93" s="2" t="str">
        <x:v>C_free_raw_deferred_uniform_N4096_B64_seed102</x:v>
      </x:c>
      <x:c r="B93" s="2" t="str">
        <x:v>free_raw</x:v>
      </x:c>
      <x:c r="C93" s="2" t="str">
        <x:v>uniform</x:v>
      </x:c>
      <x:c r="D93" s="2" t="str">
        <x:v>deferred</x:v>
      </x:c>
      <x:c r="E93" s="3" t="n">
        <x:v>102</x:v>
      </x:c>
      <x:c r="F93" s="3" t="n">
        <x:v>4096</x:v>
      </x:c>
      <x:c r="G93" s="3" t="n">
        <x:v>64</x:v>
      </x:c>
      <x:c r="H93" s="3" t="n">
        <x:v>4096</x:v>
      </x:c>
      <x:c r="I93" s="3" t="n">
        <x:v>201143760</x:v>
      </x:c>
      <x:c r="J93" s="3" t="n">
        <x:v>117312812</x:v>
      </x:c>
      <x:c r="K93" s="3" t="n">
        <x:v>83830948</x:v>
      </x:c>
      <x:c r="L93" s="3" t="n">
        <x:v>30662</x:v>
      </x:c>
      <x:c r="M93" s="3" t="n">
        <x:v>63776960</x:v>
      </x:c>
      <x:c r="N93" s="3" t="n">
        <x:v>15945280</x:v>
      </x:c>
      <x:c r="O93" s="3" t="n">
        <x:v>40657812</x:v>
      </x:c>
      <x:c r="P93" s="3" t="n">
        <x:v>40657812</x:v>
      </x:c>
      <x:c r="Q93" s="3" t="n">
        <x:v>11774208</x:v>
      </x:c>
      <x:c r="R93" s="3" t="n">
        <x:v>25510784</x:v>
      </x:c>
      <x:c r="S93" s="3" t="n">
        <x:v>2820904</x:v>
      </x:c>
      <x:c r="T93" s="2" t="str">
        <x:v>4/3/4</x:v>
      </x:c>
      <x:c r="U93" s="2" t="str">
        <x:v>results/formal_composition/C_free_raw_deferred_uniform_N4096_B64_seed102.json</x:v>
      </x:c>
      <x:c r="V93" s="2" t="str">
        <x:v>04a08fb3640a48587eab239e93892ff3f7a84f63627c51c18940f031523e1c3c</x:v>
      </x:c>
    </x:row>
    <x:row r="94" ht="22" customHeight="1">
      <x:c r="A94" s="2" t="str">
        <x:v>C_free_raw_deferred_uniform_N4096_B64_seed103</x:v>
      </x:c>
      <x:c r="B94" s="2" t="str">
        <x:v>free_raw</x:v>
      </x:c>
      <x:c r="C94" s="2" t="str">
        <x:v>uniform</x:v>
      </x:c>
      <x:c r="D94" s="2" t="str">
        <x:v>deferred</x:v>
      </x:c>
      <x:c r="E94" s="3" t="n">
        <x:v>103</x:v>
      </x:c>
      <x:c r="F94" s="3" t="n">
        <x:v>4096</x:v>
      </x:c>
      <x:c r="G94" s="3" t="n">
        <x:v>64</x:v>
      </x:c>
      <x:c r="H94" s="3" t="n">
        <x:v>4096</x:v>
      </x:c>
      <x:c r="I94" s="3" t="n">
        <x:v>200053760</x:v>
      </x:c>
      <x:c r="J94" s="3" t="n">
        <x:v>116677696</x:v>
      </x:c>
      <x:c r="K94" s="3" t="n">
        <x:v>83376064</x:v>
      </x:c>
      <x:c r="L94" s="3" t="n">
        <x:v>30496</x:v>
      </x:c>
      <x:c r="M94" s="3" t="n">
        <x:v>63431680</x:v>
      </x:c>
      <x:c r="N94" s="3" t="n">
        <x:v>15857920</x:v>
      </x:c>
      <x:c r="O94" s="3" t="n">
        <x:v>40437696</x:v>
      </x:c>
      <x:c r="P94" s="3" t="n">
        <x:v>40437696</x:v>
      </x:c>
      <x:c r="Q94" s="3" t="n">
        <x:v>11710464</x:v>
      </x:c>
      <x:c r="R94" s="3" t="n">
        <x:v>25372672</x:v>
      </x:c>
      <x:c r="S94" s="3" t="n">
        <x:v>2805632</x:v>
      </x:c>
      <x:c r="T94" s="2" t="str">
        <x:v>4/3/4</x:v>
      </x:c>
      <x:c r="U94" s="2" t="str">
        <x:v>results/formal_composition/C_free_raw_deferred_uniform_N4096_B64_seed103.json</x:v>
      </x:c>
      <x:c r="V94" s="2" t="str">
        <x:v>6ccfa943143d12727193a1e707fa4bb57f0de6edeb48b49ed8dd1dfe2a3688ff</x:v>
      </x:c>
    </x:row>
    <x:row r="95" ht="22" customHeight="1">
      <x:c r="A95" s="2" t="str">
        <x:v>C_free_raw_deferred_uniform_N4096_B64_seed104</x:v>
      </x:c>
      <x:c r="B95" s="2" t="str">
        <x:v>free_raw</x:v>
      </x:c>
      <x:c r="C95" s="2" t="str">
        <x:v>uniform</x:v>
      </x:c>
      <x:c r="D95" s="2" t="str">
        <x:v>deferred</x:v>
      </x:c>
      <x:c r="E95" s="3" t="n">
        <x:v>104</x:v>
      </x:c>
      <x:c r="F95" s="3" t="n">
        <x:v>4096</x:v>
      </x:c>
      <x:c r="G95" s="3" t="n">
        <x:v>64</x:v>
      </x:c>
      <x:c r="H95" s="3" t="n">
        <x:v>4096</x:v>
      </x:c>
      <x:c r="I95" s="3" t="n">
        <x:v>200514000</x:v>
      </x:c>
      <x:c r="J95" s="3" t="n">
        <x:v>116945516</x:v>
      </x:c>
      <x:c r="K95" s="3" t="n">
        <x:v>83568484</x:v>
      </x:c>
      <x:c r="L95" s="3" t="n">
        <x:v>30566</x:v>
      </x:c>
      <x:c r="M95" s="3" t="n">
        <x:v>63577280</x:v>
      </x:c>
      <x:c r="N95" s="3" t="n">
        <x:v>15895360</x:v>
      </x:c>
      <x:c r="O95" s="3" t="n">
        <x:v>40530516</x:v>
      </x:c>
      <x:c r="P95" s="3" t="n">
        <x:v>40530516</x:v>
      </x:c>
      <x:c r="Q95" s="3" t="n">
        <x:v>11737344</x:v>
      </x:c>
      <x:c r="R95" s="3" t="n">
        <x:v>25430912</x:v>
      </x:c>
      <x:c r="S95" s="3" t="n">
        <x:v>2812072</x:v>
      </x:c>
      <x:c r="T95" s="2" t="str">
        <x:v>4/3/4</x:v>
      </x:c>
      <x:c r="U95" s="2" t="str">
        <x:v>results/formal_composition/C_free_raw_deferred_uniform_N4096_B64_seed104.json</x:v>
      </x:c>
      <x:c r="V95" s="2" t="str">
        <x:v>e97e6af41c03faec99ee16857a0dc5c62ffb71268a16467e5ff58d0798b6cf45</x:v>
      </x:c>
    </x:row>
    <x:row r="96" ht="22" customHeight="1">
      <x:c r="A96" s="2" t="str">
        <x:v>C_free_raw_deferred_uniform_N4096_B64_seed105</x:v>
      </x:c>
      <x:c r="B96" s="2" t="str">
        <x:v>free_raw</x:v>
      </x:c>
      <x:c r="C96" s="2" t="str">
        <x:v>uniform</x:v>
      </x:c>
      <x:c r="D96" s="2" t="str">
        <x:v>deferred</x:v>
      </x:c>
      <x:c r="E96" s="3" t="n">
        <x:v>105</x:v>
      </x:c>
      <x:c r="F96" s="3" t="n">
        <x:v>4096</x:v>
      </x:c>
      <x:c r="G96" s="3" t="n">
        <x:v>64</x:v>
      </x:c>
      <x:c r="H96" s="3" t="n">
        <x:v>4096</x:v>
      </x:c>
      <x:c r="I96" s="3" t="n">
        <x:v>200421120</x:v>
      </x:c>
      <x:c r="J96" s="3" t="n">
        <x:v>116891952</x:v>
      </x:c>
      <x:c r="K96" s="3" t="n">
        <x:v>83529168</x:v>
      </x:c>
      <x:c r="L96" s="3" t="n">
        <x:v>30552</x:v>
      </x:c>
      <x:c r="M96" s="3" t="n">
        <x:v>63548160</x:v>
      </x:c>
      <x:c r="N96" s="3" t="n">
        <x:v>15887040</x:v>
      </x:c>
      <x:c r="O96" s="3" t="n">
        <x:v>40511952</x:v>
      </x:c>
      <x:c r="P96" s="3" t="n">
        <x:v>40511952</x:v>
      </x:c>
      <x:c r="Q96" s="3" t="n">
        <x:v>11731968</x:v>
      </x:c>
      <x:c r="R96" s="3" t="n">
        <x:v>25419264</x:v>
      </x:c>
      <x:c r="S96" s="3" t="n">
        <x:v>2810784</x:v>
      </x:c>
      <x:c r="T96" s="2" t="str">
        <x:v>4/3/4</x:v>
      </x:c>
      <x:c r="U96" s="2" t="str">
        <x:v>results/formal_composition/C_free_raw_deferred_uniform_N4096_B64_seed105.json</x:v>
      </x:c>
      <x:c r="V96" s="2" t="str">
        <x:v>87e01a52f9ec50a1e3f1f9fa993d074a3b88da5d552c71c3d4ac8b2ce0ccec93</x:v>
      </x:c>
    </x:row>
    <x:row r="97" ht="22" customHeight="1">
      <x:c r="A97" s="2" t="str">
        <x:v>C_free_raw_deferred_zipf09_N4096_B64_seed101</x:v>
      </x:c>
      <x:c r="B97" s="2" t="str">
        <x:v>free_raw</x:v>
      </x:c>
      <x:c r="C97" s="2" t="str">
        <x:v>zipf09</x:v>
      </x:c>
      <x:c r="D97" s="2" t="str">
        <x:v>deferred</x:v>
      </x:c>
      <x:c r="E97" s="3" t="n">
        <x:v>101</x:v>
      </x:c>
      <x:c r="F97" s="3" t="n">
        <x:v>4096</x:v>
      </x:c>
      <x:c r="G97" s="3" t="n">
        <x:v>64</x:v>
      </x:c>
      <x:c r="H97" s="3" t="n">
        <x:v>4096</x:v>
      </x:c>
      <x:c r="I97" s="3" t="n">
        <x:v>195435520</x:v>
      </x:c>
      <x:c r="J97" s="3" t="n">
        <x:v>113984192</x:v>
      </x:c>
      <x:c r="K97" s="3" t="n">
        <x:v>81451328</x:v>
      </x:c>
      <x:c r="L97" s="3" t="n">
        <x:v>29792</x:v>
      </x:c>
      <x:c r="M97" s="3" t="n">
        <x:v>61967360</x:v>
      </x:c>
      <x:c r="N97" s="3" t="n">
        <x:v>15491840</x:v>
      </x:c>
      <x:c r="O97" s="3" t="n">
        <x:v>39504192</x:v>
      </x:c>
      <x:c r="P97" s="3" t="n">
        <x:v>39504192</x:v>
      </x:c>
      <x:c r="Q97" s="3" t="n">
        <x:v>11440128</x:v>
      </x:c>
      <x:c r="R97" s="3" t="n">
        <x:v>24786944</x:v>
      </x:c>
      <x:c r="S97" s="3" t="n">
        <x:v>2740864</x:v>
      </x:c>
      <x:c r="T97" s="2" t="str">
        <x:v>4/3/4</x:v>
      </x:c>
      <x:c r="U97" s="2" t="str">
        <x:v>results/formal_composition/C_free_raw_deferred_zipf09_N4096_B64_seed101.json</x:v>
      </x:c>
      <x:c r="V97" s="2" t="str">
        <x:v>2ef7f5c3e6b4ac3285fb778cdf55e8feae6f820e424e65cc132627c72f74a523</x:v>
      </x:c>
    </x:row>
    <x:row r="98" ht="22" customHeight="1">
      <x:c r="A98" s="2" t="str">
        <x:v>C_free_raw_deferred_zipf09_N4096_B64_seed102</x:v>
      </x:c>
      <x:c r="B98" s="2" t="str">
        <x:v>free_raw</x:v>
      </x:c>
      <x:c r="C98" s="2" t="str">
        <x:v>zipf09</x:v>
      </x:c>
      <x:c r="D98" s="2" t="str">
        <x:v>deferred</x:v>
      </x:c>
      <x:c r="E98" s="3" t="n">
        <x:v>102</x:v>
      </x:c>
      <x:c r="F98" s="3" t="n">
        <x:v>4096</x:v>
      </x:c>
      <x:c r="G98" s="3" t="n">
        <x:v>64</x:v>
      </x:c>
      <x:c r="H98" s="3" t="n">
        <x:v>4096</x:v>
      </x:c>
      <x:c r="I98" s="3" t="n">
        <x:v>196497200</x:v>
      </x:c>
      <x:c r="J98" s="3" t="n">
        <x:v>114604004</x:v>
      </x:c>
      <x:c r="K98" s="3" t="n">
        <x:v>81893196</x:v>
      </x:c>
      <x:c r="L98" s="3" t="n">
        <x:v>29954</x:v>
      </x:c>
      <x:c r="M98" s="3" t="n">
        <x:v>62304320</x:v>
      </x:c>
      <x:c r="N98" s="3" t="n">
        <x:v>15575040</x:v>
      </x:c>
      <x:c r="O98" s="3" t="n">
        <x:v>39719004</x:v>
      </x:c>
      <x:c r="P98" s="3" t="n">
        <x:v>39719004</x:v>
      </x:c>
      <x:c r="Q98" s="3" t="n">
        <x:v>11502336</x:v>
      </x:c>
      <x:c r="R98" s="3" t="n">
        <x:v>24921728</x:v>
      </x:c>
      <x:c r="S98" s="3" t="n">
        <x:v>2755768</x:v>
      </x:c>
      <x:c r="T98" s="2" t="str">
        <x:v>4/3/4</x:v>
      </x:c>
      <x:c r="U98" s="2" t="str">
        <x:v>results/formal_composition/C_free_raw_deferred_zipf09_N4096_B64_seed102.json</x:v>
      </x:c>
      <x:c r="V98" s="2" t="str">
        <x:v>e4aaf5edb742a03eef154e78fe12863696352e840622dccd784d6f05e801c642</x:v>
      </x:c>
    </x:row>
    <x:row r="99" ht="22" customHeight="1">
      <x:c r="A99" s="2" t="str">
        <x:v>C_free_raw_deferred_zipf09_N4096_B64_seed103</x:v>
      </x:c>
      <x:c r="B99" s="2" t="str">
        <x:v>free_raw</x:v>
      </x:c>
      <x:c r="C99" s="2" t="str">
        <x:v>zipf09</x:v>
      </x:c>
      <x:c r="D99" s="2" t="str">
        <x:v>deferred</x:v>
      </x:c>
      <x:c r="E99" s="3" t="n">
        <x:v>103</x:v>
      </x:c>
      <x:c r="F99" s="3" t="n">
        <x:v>4096</x:v>
      </x:c>
      <x:c r="G99" s="3" t="n">
        <x:v>64</x:v>
      </x:c>
      <x:c r="H99" s="3" t="n">
        <x:v>4096</x:v>
      </x:c>
      <x:c r="I99" s="3" t="n">
        <x:v>195710000</x:v>
      </x:c>
      <x:c r="J99" s="3" t="n">
        <x:v>114144884</x:v>
      </x:c>
      <x:c r="K99" s="3" t="n">
        <x:v>81565116</x:v>
      </x:c>
      <x:c r="L99" s="3" t="n">
        <x:v>29834</x:v>
      </x:c>
      <x:c r="M99" s="3" t="n">
        <x:v>62054720</x:v>
      </x:c>
      <x:c r="N99" s="3" t="n">
        <x:v>15512640</x:v>
      </x:c>
      <x:c r="O99" s="3" t="n">
        <x:v>39559884</x:v>
      </x:c>
      <x:c r="P99" s="3" t="n">
        <x:v>39559884</x:v>
      </x:c>
      <x:c r="Q99" s="3" t="n">
        <x:v>11456256</x:v>
      </x:c>
      <x:c r="R99" s="3" t="n">
        <x:v>24821888</x:v>
      </x:c>
      <x:c r="S99" s="3" t="n">
        <x:v>2744728</x:v>
      </x:c>
      <x:c r="T99" s="2" t="str">
        <x:v>4/3/4</x:v>
      </x:c>
      <x:c r="U99" s="2" t="str">
        <x:v>results/formal_composition/C_free_raw_deferred_zipf09_N4096_B64_seed103.json</x:v>
      </x:c>
      <x:c r="V99" s="2" t="str">
        <x:v>badb9fcb9f6f80d362a7380d2a88dc6c9eacc1aef3b42eda18e7fb6d90da45dd</x:v>
      </x:c>
    </x:row>
    <x:row r="100" ht="22" customHeight="1">
      <x:c r="A100" s="2" t="str">
        <x:v>C_free_raw_deferred_zipf09_N4096_B64_seed104</x:v>
      </x:c>
      <x:c r="B100" s="2" t="str">
        <x:v>free_raw</x:v>
      </x:c>
      <x:c r="C100" s="2" t="str">
        <x:v>zipf09</x:v>
      </x:c>
      <x:c r="D100" s="2" t="str">
        <x:v>deferred</x:v>
      </x:c>
      <x:c r="E100" s="3" t="n">
        <x:v>104</x:v>
      </x:c>
      <x:c r="F100" s="3" t="n">
        <x:v>4096</x:v>
      </x:c>
      <x:c r="G100" s="3" t="n">
        <x:v>64</x:v>
      </x:c>
      <x:c r="H100" s="3" t="n">
        <x:v>4096</x:v>
      </x:c>
      <x:c r="I100" s="3" t="n">
        <x:v>195580880</x:v>
      </x:c>
      <x:c r="J100" s="3" t="n">
        <x:v>114068364</x:v>
      </x:c>
      <x:c r="K100" s="3" t="n">
        <x:v>81512516</x:v>
      </x:c>
      <x:c r="L100" s="3" t="n">
        <x:v>29814</x:v>
      </x:c>
      <x:c r="M100" s="3" t="n">
        <x:v>62013120</x:v>
      </x:c>
      <x:c r="N100" s="3" t="n">
        <x:v>15504320</x:v>
      </x:c>
      <x:c r="O100" s="3" t="n">
        <x:v>39533364</x:v>
      </x:c>
      <x:c r="P100" s="3" t="n">
        <x:v>39533364</x:v>
      </x:c>
      <x:c r="Q100" s="3" t="n">
        <x:v>11448576</x:v>
      </x:c>
      <x:c r="R100" s="3" t="n">
        <x:v>24805248</x:v>
      </x:c>
      <x:c r="S100" s="3" t="n">
        <x:v>2742888</x:v>
      </x:c>
      <x:c r="T100" s="2" t="str">
        <x:v>4/3/4</x:v>
      </x:c>
      <x:c r="U100" s="2" t="str">
        <x:v>results/formal_composition/C_free_raw_deferred_zipf09_N4096_B64_seed104.json</x:v>
      </x:c>
      <x:c r="V100" s="2" t="str">
        <x:v>eed911df53de784f72a0919a7c7cb6ce8188277cc4fbf23516d2bb1fcaf9dc1e</x:v>
      </x:c>
    </x:row>
    <x:row r="101" ht="22" customHeight="1">
      <x:c r="A101" s="2" t="str">
        <x:v>C_free_raw_deferred_zipf09_N4096_B64_seed105</x:v>
      </x:c>
      <x:c r="B101" s="2" t="str">
        <x:v>free_raw</x:v>
      </x:c>
      <x:c r="C101" s="2" t="str">
        <x:v>zipf09</x:v>
      </x:c>
      <x:c r="D101" s="2" t="str">
        <x:v>deferred</x:v>
      </x:c>
      <x:c r="E101" s="3" t="n">
        <x:v>105</x:v>
      </x:c>
      <x:c r="F101" s="3" t="n">
        <x:v>4096</x:v>
      </x:c>
      <x:c r="G101" s="3" t="n">
        <x:v>64</x:v>
      </x:c>
      <x:c r="H101" s="3" t="n">
        <x:v>4096</x:v>
      </x:c>
      <x:c r="I101" s="3" t="n">
        <x:v>196315600</x:v>
      </x:c>
      <x:c r="J101" s="3" t="n">
        <x:v>114496876</x:v>
      </x:c>
      <x:c r="K101" s="3" t="n">
        <x:v>81818724</x:v>
      </x:c>
      <x:c r="L101" s="3" t="n">
        <x:v>29926</x:v>
      </x:c>
      <x:c r="M101" s="3" t="n">
        <x:v>62246080</x:v>
      </x:c>
      <x:c r="N101" s="3" t="n">
        <x:v>15562560</x:v>
      </x:c>
      <x:c r="O101" s="3" t="n">
        <x:v>39681876</x:v>
      </x:c>
      <x:c r="P101" s="3" t="n">
        <x:v>39681876</x:v>
      </x:c>
      <x:c r="Q101" s="3" t="n">
        <x:v>11491584</x:v>
      </x:c>
      <x:c r="R101" s="3" t="n">
        <x:v>24898432</x:v>
      </x:c>
      <x:c r="S101" s="3" t="n">
        <x:v>2753192</x:v>
      </x:c>
      <x:c r="T101" s="2" t="str">
        <x:v>4/3/4</x:v>
      </x:c>
      <x:c r="U101" s="2" t="str">
        <x:v>results/formal_composition/C_free_raw_deferred_zipf09_N4096_B64_seed105.json</x:v>
      </x:c>
      <x:c r="V101" s="2" t="str">
        <x:v>f5b49ea8e94bff2bcc206a0b138e0be1a4cc86a36fcd04c9c3e2a22442091d85</x:v>
      </x:c>
    </x:row>
    <x:row r="102" ht="22" customHeight="1">
      <x:c r="A102" s="2" t="str">
        <x:v>C_free_raw_r0_hot90_N4096_B64_seed101</x:v>
      </x:c>
      <x:c r="B102" s="2" t="str">
        <x:v>free_raw</x:v>
      </x:c>
      <x:c r="C102" s="2" t="str">
        <x:v>hot90</x:v>
      </x:c>
      <x:c r="D102" s="2" t="str">
        <x:v>r0</x:v>
      </x:c>
      <x:c r="E102" s="3" t="n">
        <x:v>101</x:v>
      </x:c>
      <x:c r="F102" s="3" t="n">
        <x:v>4096</x:v>
      </x:c>
      <x:c r="G102" s="3" t="n">
        <x:v>64</x:v>
      </x:c>
      <x:c r="H102" s="3" t="n">
        <x:v>4096</x:v>
      </x:c>
      <x:c r="I102" s="3" t="n">
        <x:v>212216704</x:v>
      </x:c>
      <x:c r="J102" s="3" t="n">
        <x:v>92485640</x:v>
      </x:c>
      <x:c r="K102" s="3" t="n">
        <x:v>119731064</x:v>
      </x:c>
      <x:c r="L102" s="3" t="n">
        <x:v>43305</x:v>
      </x:c>
      <x:c r="M102" s="3" t="n">
        <x:v>20476720</x:v>
      </x:c>
      <x:c r="N102" s="3" t="n">
        <x:v>28774400</x:v>
      </x:c>
      <x:c r="O102" s="3" t="n">
        <x:v>24700116</x:v>
      </x:c>
      <x:c r="P102" s="3" t="n">
        <x:v>24700116</x:v>
      </x:c>
      <x:c r="Q102" s="3" t="n">
        <x:v>45749824</x:v>
      </x:c>
      <x:c r="R102" s="3" t="n">
        <x:v>62920576</x:v>
      </x:c>
      <x:c r="S102" s="3" t="n">
        <x:v>4894952</x:v>
      </x:c>
      <x:c r="T102" s="2" t="str">
        <x:v>4/3/4</x:v>
      </x:c>
      <x:c r="U102" s="2" t="str">
        <x:v>results/formal_composition/C_free_raw_r0_hot90_N4096_B64_seed101.json</x:v>
      </x:c>
      <x:c r="V102" s="2" t="str">
        <x:v>179d51e1eb32cebead51569c0f4b13d2cbf23925603b92b8602a56e7e0bc29ce</x:v>
      </x:c>
    </x:row>
    <x:row r="103" ht="22" customHeight="1">
      <x:c r="A103" s="2" t="str">
        <x:v>C_free_raw_r0_hot90_N4096_B64_seed102</x:v>
      </x:c>
      <x:c r="B103" s="2" t="str">
        <x:v>free_raw</x:v>
      </x:c>
      <x:c r="C103" s="2" t="str">
        <x:v>hot90</x:v>
      </x:c>
      <x:c r="D103" s="2" t="str">
        <x:v>r0</x:v>
      </x:c>
      <x:c r="E103" s="3" t="n">
        <x:v>102</x:v>
      </x:c>
      <x:c r="F103" s="3" t="n">
        <x:v>4096</x:v>
      </x:c>
      <x:c r="G103" s="3" t="n">
        <x:v>64</x:v>
      </x:c>
      <x:c r="H103" s="3" t="n">
        <x:v>4096</x:v>
      </x:c>
      <x:c r="I103" s="3" t="n">
        <x:v>211843008</x:v>
      </x:c>
      <x:c r="J103" s="3" t="n">
        <x:v>92300468</x:v>
      </x:c>
      <x:c r="K103" s="3" t="n">
        <x:v>119542540</x:v>
      </x:c>
      <x:c r="L103" s="3" t="n">
        <x:v>43230</x:v>
      </x:c>
      <x:c r="M103" s="3" t="n">
        <x:v>20441600</x:v>
      </x:c>
      <x:c r="N103" s="3" t="n">
        <x:v>28739200</x:v>
      </x:c>
      <x:c r="O103" s="3" t="n">
        <x:v>24644220</x:v>
      </x:c>
      <x:c r="P103" s="3" t="n">
        <x:v>24644220</x:v>
      </x:c>
      <x:c r="Q103" s="3" t="n">
        <x:v>45658368</x:v>
      </x:c>
      <x:c r="R103" s="3" t="n">
        <x:v>62829440</x:v>
      </x:c>
      <x:c r="S103" s="3" t="n">
        <x:v>4885960</x:v>
      </x:c>
      <x:c r="T103" s="2" t="str">
        <x:v>4/3/4</x:v>
      </x:c>
      <x:c r="U103" s="2" t="str">
        <x:v>results/formal_composition/C_free_raw_r0_hot90_N4096_B64_seed102.json</x:v>
      </x:c>
      <x:c r="V103" s="2" t="str">
        <x:v>f40ef49c97a22ba16414b30279cc3cf876d2ae1b16364b7091ab210e81eb9c77</x:v>
      </x:c>
    </x:row>
    <x:row r="104" ht="22" customHeight="1">
      <x:c r="A104" s="2" t="str">
        <x:v>C_free_raw_r0_hot90_N4096_B64_seed103</x:v>
      </x:c>
      <x:c r="B104" s="2" t="str">
        <x:v>free_raw</x:v>
      </x:c>
      <x:c r="C104" s="2" t="str">
        <x:v>hot90</x:v>
      </x:c>
      <x:c r="D104" s="2" t="str">
        <x:v>r0</x:v>
      </x:c>
      <x:c r="E104" s="3" t="n">
        <x:v>103</x:v>
      </x:c>
      <x:c r="F104" s="3" t="n">
        <x:v>4096</x:v>
      </x:c>
      <x:c r="G104" s="3" t="n">
        <x:v>64</x:v>
      </x:c>
      <x:c r="H104" s="3" t="n">
        <x:v>4096</x:v>
      </x:c>
      <x:c r="I104" s="3" t="n">
        <x:v>212454192</x:v>
      </x:c>
      <x:c r="J104" s="3" t="n">
        <x:v>92581804</x:v>
      </x:c>
      <x:c r="K104" s="3" t="n">
        <x:v>119872388</x:v>
      </x:c>
      <x:c r="L104" s="3" t="n">
        <x:v>43305</x:v>
      </x:c>
      <x:c r="M104" s="3" t="n">
        <x:v>20505600</x:v>
      </x:c>
      <x:c r="N104" s="3" t="n">
        <x:v>28808960</x:v>
      </x:c>
      <x:c r="O104" s="3" t="n">
        <x:v>24740712</x:v>
      </x:c>
      <x:c r="P104" s="3" t="n">
        <x:v>24740712</x:v>
      </x:c>
      <x:c r="Q104" s="3" t="n">
        <x:v>45776512</x:v>
      </x:c>
      <x:c r="R104" s="3" t="n">
        <x:v>62985152</x:v>
      </x:c>
      <x:c r="S104" s="3" t="n">
        <x:v>4896544</x:v>
      </x:c>
      <x:c r="T104" s="2" t="str">
        <x:v>4/3/4</x:v>
      </x:c>
      <x:c r="U104" s="2" t="str">
        <x:v>results/formal_composition/C_free_raw_r0_hot90_N4096_B64_seed103.json</x:v>
      </x:c>
      <x:c r="V104" s="2" t="str">
        <x:v>1f73422c356358467e39679fac261be27f4ac6aace128b49358c8ec2902684b7</x:v>
      </x:c>
    </x:row>
    <x:row r="105" ht="22" customHeight="1">
      <x:c r="A105" s="2" t="str">
        <x:v>C_free_raw_r0_hot90_N4096_B64_seed104</x:v>
      </x:c>
      <x:c r="B105" s="2" t="str">
        <x:v>free_raw</x:v>
      </x:c>
      <x:c r="C105" s="2" t="str">
        <x:v>hot90</x:v>
      </x:c>
      <x:c r="D105" s="2" t="str">
        <x:v>r0</x:v>
      </x:c>
      <x:c r="E105" s="3" t="n">
        <x:v>104</x:v>
      </x:c>
      <x:c r="F105" s="3" t="n">
        <x:v>4096</x:v>
      </x:c>
      <x:c r="G105" s="3" t="n">
        <x:v>64</x:v>
      </x:c>
      <x:c r="H105" s="3" t="n">
        <x:v>4096</x:v>
      </x:c>
      <x:c r="I105" s="3" t="n">
        <x:v>214233920</x:v>
      </x:c>
      <x:c r="J105" s="3" t="n">
        <x:v>93338468</x:v>
      </x:c>
      <x:c r="K105" s="3" t="n">
        <x:v>120895452</x:v>
      </x:c>
      <x:c r="L105" s="3" t="n">
        <x:v>43692</x:v>
      </x:c>
      <x:c r="M105" s="3" t="n">
        <x:v>20674720</x:v>
      </x:c>
      <x:c r="N105" s="3" t="n">
        <x:v>29066880</x:v>
      </x:c>
      <x:c r="O105" s="3" t="n">
        <x:v>24925332</x:v>
      </x:c>
      <x:c r="P105" s="3" t="n">
        <x:v>24925332</x:v>
      </x:c>
      <x:c r="Q105" s="3" t="n">
        <x:v>46165504</x:v>
      </x:c>
      <x:c r="R105" s="3" t="n">
        <x:v>63537280</x:v>
      </x:c>
      <x:c r="S105" s="3" t="n">
        <x:v>4938872</x:v>
      </x:c>
      <x:c r="T105" s="2" t="str">
        <x:v>4/3/4</x:v>
      </x:c>
      <x:c r="U105" s="2" t="str">
        <x:v>results/formal_composition/C_free_raw_r0_hot90_N4096_B64_seed104.json</x:v>
      </x:c>
      <x:c r="V105" s="2" t="str">
        <x:v>3089a7aebbb881e8a9a941c29948871527f7cdb73b11b57265a6e9d9a50fc7cc</x:v>
      </x:c>
    </x:row>
    <x:row r="106" ht="22" customHeight="1">
      <x:c r="A106" s="2" t="str">
        <x:v>C_free_raw_r0_hot90_N4096_B64_seed105</x:v>
      </x:c>
      <x:c r="B106" s="2" t="str">
        <x:v>free_raw</x:v>
      </x:c>
      <x:c r="C106" s="2" t="str">
        <x:v>hot90</x:v>
      </x:c>
      <x:c r="D106" s="2" t="str">
        <x:v>r0</x:v>
      </x:c>
      <x:c r="E106" s="3" t="n">
        <x:v>105</x:v>
      </x:c>
      <x:c r="F106" s="3" t="n">
        <x:v>4096</x:v>
      </x:c>
      <x:c r="G106" s="3" t="n">
        <x:v>64</x:v>
      </x:c>
      <x:c r="H106" s="3" t="n">
        <x:v>4096</x:v>
      </x:c>
      <x:c r="I106" s="3" t="n">
        <x:v>213477136</x:v>
      </x:c>
      <x:c r="J106" s="3" t="n">
        <x:v>93010348</x:v>
      </x:c>
      <x:c r="K106" s="3" t="n">
        <x:v>120466788</x:v>
      </x:c>
      <x:c r="L106" s="3" t="n">
        <x:v>43551</x:v>
      </x:c>
      <x:c r="M106" s="3" t="n">
        <x:v>20600960</x:v>
      </x:c>
      <x:c r="N106" s="3" t="n">
        <x:v>28961280</x:v>
      </x:c>
      <x:c r="O106" s="3" t="n">
        <x:v>24838224</x:v>
      </x:c>
      <x:c r="P106" s="3" t="n">
        <x:v>24838224</x:v>
      </x:c>
      <x:c r="Q106" s="3" t="n">
        <x:v>46003328</x:v>
      </x:c>
      <x:c r="R106" s="3" t="n">
        <x:v>63312448</x:v>
      </x:c>
      <x:c r="S106" s="3" t="n">
        <x:v>4922672</x:v>
      </x:c>
      <x:c r="T106" s="2" t="str">
        <x:v>4/3/4</x:v>
      </x:c>
      <x:c r="U106" s="2" t="str">
        <x:v>results/formal_composition/C_free_raw_r0_hot90_N4096_B64_seed105.json</x:v>
      </x:c>
      <x:c r="V106" s="2" t="str">
        <x:v>a112b49df62ffffbd622f5b7d69eaf3b2afe61d1aed24ba98475e3d4525a975d</x:v>
      </x:c>
    </x:row>
    <x:row r="107" ht="22" customHeight="1">
      <x:c r="A107" s="2" t="str">
        <x:v>C_free_raw_r0_scan_N4096_B64_seed101</x:v>
      </x:c>
      <x:c r="B107" s="2" t="str">
        <x:v>free_raw</x:v>
      </x:c>
      <x:c r="C107" s="2" t="str">
        <x:v>scan</x:v>
      </x:c>
      <x:c r="D107" s="2" t="str">
        <x:v>r0</x:v>
      </x:c>
      <x:c r="E107" s="3" t="n">
        <x:v>101</x:v>
      </x:c>
      <x:c r="F107" s="3" t="n">
        <x:v>4096</x:v>
      </x:c>
      <x:c r="G107" s="3" t="n">
        <x:v>64</x:v>
      </x:c>
      <x:c r="H107" s="3" t="n">
        <x:v>4096</x:v>
      </x:c>
      <x:c r="I107" s="3" t="n">
        <x:v>85843392</x:v>
      </x:c>
      <x:c r="J107" s="3" t="n">
        <x:v>37454728</x:v>
      </x:c>
      <x:c r="K107" s="3" t="n">
        <x:v>48388664</x:v>
      </x:c>
      <x:c r="L107" s="3" t="n">
        <x:v>17535</x:v>
      </x:c>
      <x:c r="M107" s="3" t="n">
        <x:v>8279120</x:v>
      </x:c>
      <x:c r="N107" s="3" t="n">
        <x:v>11609600</x:v>
      </x:c>
      <x:c r="O107" s="3" t="n">
        <x:v>10010076</x:v>
      </x:c>
      <x:c r="P107" s="3" t="n">
        <x:v>10010076</x:v>
      </x:c>
      <x:c r="Q107" s="3" t="n">
        <x:v>18534272</x:v>
      </x:c>
      <x:c r="R107" s="3" t="n">
        <x:v>25417856</x:v>
      </x:c>
      <x:c r="S107" s="3" t="n">
        <x:v>1982392</x:v>
      </x:c>
      <x:c r="T107" s="2" t="str">
        <x:v>4/3/4</x:v>
      </x:c>
      <x:c r="U107" s="2" t="str">
        <x:v>results/formal_composition/C_free_raw_r0_scan_N4096_B64_seed101.json</x:v>
      </x:c>
      <x:c r="V107" s="2" t="str">
        <x:v>299b1e2c3c41c0a3525f67b39fe63bc1366df3bcebf2242c3976986eaa38dbb6</x:v>
      </x:c>
    </x:row>
    <x:row r="108" ht="22" customHeight="1">
      <x:c r="A108" s="2" t="str">
        <x:v>C_free_raw_r0_scan_N4096_B64_seed102</x:v>
      </x:c>
      <x:c r="B108" s="2" t="str">
        <x:v>free_raw</x:v>
      </x:c>
      <x:c r="C108" s="2" t="str">
        <x:v>scan</x:v>
      </x:c>
      <x:c r="D108" s="2" t="str">
        <x:v>r0</x:v>
      </x:c>
      <x:c r="E108" s="3" t="n">
        <x:v>102</x:v>
      </x:c>
      <x:c r="F108" s="3" t="n">
        <x:v>4096</x:v>
      </x:c>
      <x:c r="G108" s="3" t="n">
        <x:v>64</x:v>
      </x:c>
      <x:c r="H108" s="3" t="n">
        <x:v>4096</x:v>
      </x:c>
      <x:c r="I108" s="3" t="n">
        <x:v>85824224</x:v>
      </x:c>
      <x:c r="J108" s="3" t="n">
        <x:v>37441852</x:v>
      </x:c>
      <x:c r="K108" s="3" t="n">
        <x:v>48382372</x:v>
      </x:c>
      <x:c r="L108" s="3" t="n">
        <x:v>17535</x:v>
      </x:c>
      <x:c r="M108" s="3" t="n">
        <x:v>8277520</x:v>
      </x:c>
      <x:c r="N108" s="3" t="n">
        <x:v>11608960</x:v>
      </x:c>
      <x:c r="O108" s="3" t="n">
        <x:v>10006608</x:v>
      </x:c>
      <x:c r="P108" s="3" t="n">
        <x:v>10006608</x:v>
      </x:c>
      <x:c r="Q108" s="3" t="n">
        <x:v>18526464</x:v>
      </x:c>
      <x:c r="R108" s="3" t="n">
        <x:v>25415808</x:v>
      </x:c>
      <x:c r="S108" s="3" t="n">
        <x:v>1982256</x:v>
      </x:c>
      <x:c r="T108" s="2" t="str">
        <x:v>4/3/4</x:v>
      </x:c>
      <x:c r="U108" s="2" t="str">
        <x:v>results/formal_composition/C_free_raw_r0_scan_N4096_B64_seed102.json</x:v>
      </x:c>
      <x:c r="V108" s="2" t="str">
        <x:v>4514a080f375c7035a05c15d441a43cc586b74e1e179cf20115fe69d40cb6061</x:v>
      </x:c>
    </x:row>
    <x:row r="109" ht="22" customHeight="1">
      <x:c r="A109" s="2" t="str">
        <x:v>C_free_raw_r0_scan_N4096_B64_seed103</x:v>
      </x:c>
      <x:c r="B109" s="2" t="str">
        <x:v>free_raw</x:v>
      </x:c>
      <x:c r="C109" s="2" t="str">
        <x:v>scan</x:v>
      </x:c>
      <x:c r="D109" s="2" t="str">
        <x:v>r0</x:v>
      </x:c>
      <x:c r="E109" s="3" t="n">
        <x:v>103</x:v>
      </x:c>
      <x:c r="F109" s="3" t="n">
        <x:v>4096</x:v>
      </x:c>
      <x:c r="G109" s="3" t="n">
        <x:v>64</x:v>
      </x:c>
      <x:c r="H109" s="3" t="n">
        <x:v>4096</x:v>
      </x:c>
      <x:c r="I109" s="3" t="n">
        <x:v>85781760</x:v>
      </x:c>
      <x:c r="J109" s="3" t="n">
        <x:v>37440108</x:v>
      </x:c>
      <x:c r="K109" s="3" t="n">
        <x:v>48341652</x:v>
      </x:c>
      <x:c r="L109" s="3" t="n">
        <x:v>17535</x:v>
      </x:c>
      <x:c r="M109" s="3" t="n">
        <x:v>8270640</x:v>
      </x:c>
      <x:c r="N109" s="3" t="n">
        <x:v>11594880</x:v>
      </x:c>
      <x:c r="O109" s="3" t="n">
        <x:v>10002528</x:v>
      </x:c>
      <x:c r="P109" s="3" t="n">
        <x:v>10002528</x:v>
      </x:c>
      <x:c r="Q109" s="3" t="n">
        <x:v>18535680</x:v>
      </x:c>
      <x:c r="R109" s="3" t="n">
        <x:v>25393408</x:v>
      </x:c>
      <x:c r="S109" s="3" t="n">
        <x:v>1982096</x:v>
      </x:c>
      <x:c r="T109" s="2" t="str">
        <x:v>4/3/4</x:v>
      </x:c>
      <x:c r="U109" s="2" t="str">
        <x:v>results/formal_composition/C_free_raw_r0_scan_N4096_B64_seed103.json</x:v>
      </x:c>
      <x:c r="V109" s="2" t="str">
        <x:v>3fa8480f28f5ead47ec722f28bcce67aa7bbd9674a3919a0798fde7985718176</x:v>
      </x:c>
    </x:row>
    <x:row r="110" ht="22" customHeight="1">
      <x:c r="A110" s="2" t="str">
        <x:v>C_free_raw_r0_scan_N4096_B64_seed104</x:v>
      </x:c>
      <x:c r="B110" s="2" t="str">
        <x:v>free_raw</x:v>
      </x:c>
      <x:c r="C110" s="2" t="str">
        <x:v>scan</x:v>
      </x:c>
      <x:c r="D110" s="2" t="str">
        <x:v>r0</x:v>
      </x:c>
      <x:c r="E110" s="3" t="n">
        <x:v>104</x:v>
      </x:c>
      <x:c r="F110" s="3" t="n">
        <x:v>4096</x:v>
      </x:c>
      <x:c r="G110" s="3" t="n">
        <x:v>64</x:v>
      </x:c>
      <x:c r="H110" s="3" t="n">
        <x:v>4096</x:v>
      </x:c>
      <x:c r="I110" s="3" t="n">
        <x:v>85862112</x:v>
      </x:c>
      <x:c r="J110" s="3" t="n">
        <x:v>37466048</x:v>
      </x:c>
      <x:c r="K110" s="3" t="n">
        <x:v>48396064</x:v>
      </x:c>
      <x:c r="L110" s="3" t="n">
        <x:v>17535</x:v>
      </x:c>
      <x:c r="M110" s="3" t="n">
        <x:v>8282160</x:v>
      </x:c>
      <x:c r="N110" s="3" t="n">
        <x:v>11607040</x:v>
      </x:c>
      <x:c r="O110" s="3" t="n">
        <x:v>10020276</x:v>
      </x:c>
      <x:c r="P110" s="3" t="n">
        <x:v>10020276</x:v>
      </x:c>
      <x:c r="Q110" s="3" t="n">
        <x:v>18532352</x:v>
      </x:c>
      <x:c r="R110" s="3" t="n">
        <x:v>25417216</x:v>
      </x:c>
      <x:c r="S110" s="3" t="n">
        <x:v>1982792</x:v>
      </x:c>
      <x:c r="T110" s="2" t="str">
        <x:v>4/3/4</x:v>
      </x:c>
      <x:c r="U110" s="2" t="str">
        <x:v>results/formal_composition/C_free_raw_r0_scan_N4096_B64_seed104.json</x:v>
      </x:c>
      <x:c r="V110" s="2" t="str">
        <x:v>75d0c77070219794f347f6776516fb9d423d08b3ecaf1b22fad192c388540e51</x:v>
      </x:c>
    </x:row>
    <x:row r="111" ht="22" customHeight="1">
      <x:c r="A111" s="2" t="str">
        <x:v>C_free_raw_r0_scan_N4096_B64_seed105</x:v>
      </x:c>
      <x:c r="B111" s="2" t="str">
        <x:v>free_raw</x:v>
      </x:c>
      <x:c r="C111" s="2" t="str">
        <x:v>scan</x:v>
      </x:c>
      <x:c r="D111" s="2" t="str">
        <x:v>r0</x:v>
      </x:c>
      <x:c r="E111" s="3" t="n">
        <x:v>105</x:v>
      </x:c>
      <x:c r="F111" s="3" t="n">
        <x:v>4096</x:v>
      </x:c>
      <x:c r="G111" s="3" t="n">
        <x:v>64</x:v>
      </x:c>
      <x:c r="H111" s="3" t="n">
        <x:v>4096</x:v>
      </x:c>
      <x:c r="I111" s="3" t="n">
        <x:v>85820512</x:v>
      </x:c>
      <x:c r="J111" s="3" t="n">
        <x:v>37404168</x:v>
      </x:c>
      <x:c r="K111" s="3" t="n">
        <x:v>48416344</x:v>
      </x:c>
      <x:c r="L111" s="3" t="n">
        <x:v>17535</x:v>
      </x:c>
      <x:c r="M111" s="3" t="n">
        <x:v>8278640</x:v>
      </x:c>
      <x:c r="N111" s="3" t="n">
        <x:v>11633920</x:v>
      </x:c>
      <x:c r="O111" s="3" t="n">
        <x:v>9985596</x:v>
      </x:c>
      <x:c r="P111" s="3" t="n">
        <x:v>9985596</x:v>
      </x:c>
      <x:c r="Q111" s="3" t="n">
        <x:v>18508672</x:v>
      </x:c>
      <x:c r="R111" s="3" t="n">
        <x:v>25446656</x:v>
      </x:c>
      <x:c r="S111" s="3" t="n">
        <x:v>1981432</x:v>
      </x:c>
      <x:c r="T111" s="2" t="str">
        <x:v>4/3/4</x:v>
      </x:c>
      <x:c r="U111" s="2" t="str">
        <x:v>results/formal_composition/C_free_raw_r0_scan_N4096_B64_seed105.json</x:v>
      </x:c>
      <x:c r="V111" s="2" t="str">
        <x:v>4119331af8795f560a4d1eee63ec11f4915f299d648d8ca4091b9d32406c02d7</x:v>
      </x:c>
    </x:row>
    <x:row r="112" ht="22" customHeight="1">
      <x:c r="A112" s="2" t="str">
        <x:v>C_free_raw_r0_uniform_N4096_B64_seed101</x:v>
      </x:c>
      <x:c r="B112" s="2" t="str">
        <x:v>free_raw</x:v>
      </x:c>
      <x:c r="C112" s="2" t="str">
        <x:v>uniform</x:v>
      </x:c>
      <x:c r="D112" s="2" t="str">
        <x:v>r0</x:v>
      </x:c>
      <x:c r="E112" s="3" t="n">
        <x:v>101</x:v>
      </x:c>
      <x:c r="F112" s="3" t="n">
        <x:v>4096</x:v>
      </x:c>
      <x:c r="G112" s="3" t="n">
        <x:v>64</x:v>
      </x:c>
      <x:c r="H112" s="3" t="n">
        <x:v>4096</x:v>
      </x:c>
      <x:c r="I112" s="3" t="n">
        <x:v>225253536</x:v>
      </x:c>
      <x:c r="J112" s="3" t="n">
        <x:v>98119672</x:v>
      </x:c>
      <x:c r="K112" s="3" t="n">
        <x:v>127133864</x:v>
      </x:c>
      <x:c r="L112" s="3" t="n">
        <x:v>45954</x:v>
      </x:c>
      <x:c r="M112" s="3" t="n">
        <x:v>21739200</x:v>
      </x:c>
      <x:c r="N112" s="3" t="n">
        <x:v>30571520</x:v>
      </x:c>
      <x:c r="O112" s="3" t="n">
        <x:v>26200944</x:v>
      </x:c>
      <x:c r="P112" s="3" t="n">
        <x:v>26200944</x:v>
      </x:c>
      <x:c r="Q112" s="3" t="n">
        <x:v>48525184</x:v>
      </x:c>
      <x:c r="R112" s="3" t="n">
        <x:v>66821760</x:v>
      </x:c>
      <x:c r="S112" s="3" t="n">
        <x:v>5193984</x:v>
      </x:c>
      <x:c r="T112" s="2" t="str">
        <x:v>4/3/4</x:v>
      </x:c>
      <x:c r="U112" s="2" t="str">
        <x:v>results/formal_composition/C_free_raw_r0_uniform_N4096_B64_seed101.json</x:v>
      </x:c>
      <x:c r="V112" s="2" t="str">
        <x:v>184827ce174bfec8bd2e9fbc444a944116851232d9b8dd0699eac411fd72bef3</x:v>
      </x:c>
    </x:row>
    <x:row r="113" ht="22" customHeight="1">
      <x:c r="A113" s="2" t="str">
        <x:v>C_free_raw_r0_uniform_N4096_B64_seed102</x:v>
      </x:c>
      <x:c r="B113" s="2" t="str">
        <x:v>free_raw</x:v>
      </x:c>
      <x:c r="C113" s="2" t="str">
        <x:v>uniform</x:v>
      </x:c>
      <x:c r="D113" s="2" t="str">
        <x:v>r0</x:v>
      </x:c>
      <x:c r="E113" s="3" t="n">
        <x:v>102</x:v>
      </x:c>
      <x:c r="F113" s="3" t="n">
        <x:v>4096</x:v>
      </x:c>
      <x:c r="G113" s="3" t="n">
        <x:v>64</x:v>
      </x:c>
      <x:c r="H113" s="3" t="n">
        <x:v>4096</x:v>
      </x:c>
      <x:c r="I113" s="3" t="n">
        <x:v>225210256</x:v>
      </x:c>
      <x:c r="J113" s="3" t="n">
        <x:v>98130432</x:v>
      </x:c>
      <x:c r="K113" s="3" t="n">
        <x:v>127079824</x:v>
      </x:c>
      <x:c r="L113" s="3" t="n">
        <x:v>45993</x:v>
      </x:c>
      <x:c r="M113" s="3" t="n">
        <x:v>21726720</x:v>
      </x:c>
      <x:c r="N113" s="3" t="n">
        <x:v>30551680</x:v>
      </x:c>
      <x:c r="O113" s="3" t="n">
        <x:v>26188092</x:v>
      </x:c>
      <x:c r="P113" s="3" t="n">
        <x:v>26188092</x:v>
      </x:c>
      <x:c r="Q113" s="3" t="n">
        <x:v>48559872</x:v>
      </x:c>
      <x:c r="R113" s="3" t="n">
        <x:v>66798784</x:v>
      </x:c>
      <x:c r="S113" s="3" t="n">
        <x:v>5197016</x:v>
      </x:c>
      <x:c r="T113" s="2" t="str">
        <x:v>4/3/4</x:v>
      </x:c>
      <x:c r="U113" s="2" t="str">
        <x:v>results/formal_composition/C_free_raw_r0_uniform_N4096_B64_seed102.json</x:v>
      </x:c>
      <x:c r="V113" s="2" t="str">
        <x:v>f1f5759e7427a6dfeabf1e5b224b0b020efe4e782383c056d062f4b33611c11a</x:v>
      </x:c>
    </x:row>
    <x:row r="114" ht="22" customHeight="1">
      <x:c r="A114" s="2" t="str">
        <x:v>C_free_raw_r0_uniform_N4096_B64_seed103</x:v>
      </x:c>
      <x:c r="B114" s="2" t="str">
        <x:v>free_raw</x:v>
      </x:c>
      <x:c r="C114" s="2" t="str">
        <x:v>uniform</x:v>
      </x:c>
      <x:c r="D114" s="2" t="str">
        <x:v>r0</x:v>
      </x:c>
      <x:c r="E114" s="3" t="n">
        <x:v>103</x:v>
      </x:c>
      <x:c r="F114" s="3" t="n">
        <x:v>4096</x:v>
      </x:c>
      <x:c r="G114" s="3" t="n">
        <x:v>64</x:v>
      </x:c>
      <x:c r="H114" s="3" t="n">
        <x:v>4096</x:v>
      </x:c>
      <x:c r="I114" s="3" t="n">
        <x:v>224088592</x:v>
      </x:c>
      <x:c r="J114" s="3" t="n">
        <x:v>97692164</x:v>
      </x:c>
      <x:c r="K114" s="3" t="n">
        <x:v>126396428</x:v>
      </x:c>
      <x:c r="L114" s="3" t="n">
        <x:v>45744</x:v>
      </x:c>
      <x:c r="M114" s="3" t="n">
        <x:v>21618160</x:v>
      </x:c>
      <x:c r="N114" s="3" t="n">
        <x:v>30364160</x:v>
      </x:c>
      <x:c r="O114" s="3" t="n">
        <x:v>26090580</x:v>
      </x:c>
      <x:c r="P114" s="3" t="n">
        <x:v>26090580</x:v>
      </x:c>
      <x:c r="Q114" s="3" t="n">
        <x:v>48336640</x:v>
      </x:c>
      <x:c r="R114" s="3" t="n">
        <x:v>66417856</x:v>
      </x:c>
      <x:c r="S114" s="3" t="n">
        <x:v>5170616</x:v>
      </x:c>
      <x:c r="T114" s="2" t="str">
        <x:v>4/3/4</x:v>
      </x:c>
      <x:c r="U114" s="2" t="str">
        <x:v>results/formal_composition/C_free_raw_r0_uniform_N4096_B64_seed103.json</x:v>
      </x:c>
      <x:c r="V114" s="2" t="str">
        <x:v>5dcab3487518a1dd132cd5f77c9cc87804990f75feb2bd041c8d6ce0e82b6814</x:v>
      </x:c>
    </x:row>
    <x:row r="115" ht="22" customHeight="1">
      <x:c r="A115" s="2" t="str">
        <x:v>C_free_raw_r0_uniform_N4096_B64_seed104</x:v>
      </x:c>
      <x:c r="B115" s="2" t="str">
        <x:v>free_raw</x:v>
      </x:c>
      <x:c r="C115" s="2" t="str">
        <x:v>uniform</x:v>
      </x:c>
      <x:c r="D115" s="2" t="str">
        <x:v>r0</x:v>
      </x:c>
      <x:c r="E115" s="3" t="n">
        <x:v>104</x:v>
      </x:c>
      <x:c r="F115" s="3" t="n">
        <x:v>4096</x:v>
      </x:c>
      <x:c r="G115" s="3" t="n">
        <x:v>64</x:v>
      </x:c>
      <x:c r="H115" s="3" t="n">
        <x:v>4096</x:v>
      </x:c>
      <x:c r="I115" s="3" t="n">
        <x:v>224836640</x:v>
      </x:c>
      <x:c r="J115" s="3" t="n">
        <x:v>97913732</x:v>
      </x:c>
      <x:c r="K115" s="3" t="n">
        <x:v>126922908</x:v>
      </x:c>
      <x:c r="L115" s="3" t="n">
        <x:v>45849</x:v>
      </x:c>
      <x:c r="M115" s="3" t="n">
        <x:v>21701360</x:v>
      </x:c>
      <x:c r="N115" s="3" t="n">
        <x:v>30533760</x:v>
      </x:c>
      <x:c r="O115" s="3" t="n">
        <x:v>26140560</x:v>
      </x:c>
      <x:c r="P115" s="3" t="n">
        <x:v>26140560</x:v>
      </x:c>
      <x:c r="Q115" s="3" t="n">
        <x:v>48421248</x:v>
      </x:c>
      <x:c r="R115" s="3" t="n">
        <x:v>66717056</x:v>
      </x:c>
      <x:c r="S115" s="3" t="n">
        <x:v>5182096</x:v>
      </x:c>
      <x:c r="T115" s="2" t="str">
        <x:v>4/3/4</x:v>
      </x:c>
      <x:c r="U115" s="2" t="str">
        <x:v>results/formal_composition/C_free_raw_r0_uniform_N4096_B64_seed104.json</x:v>
      </x:c>
      <x:c r="V115" s="2" t="str">
        <x:v>8bd23b9e7922933ee0f5d628e397d50e61288467c36580995edcd1e4f294c9df</x:v>
      </x:c>
    </x:row>
    <x:row r="116" ht="22" customHeight="1">
      <x:c r="A116" s="2" t="str">
        <x:v>C_free_raw_r0_uniform_N4096_B64_seed105</x:v>
      </x:c>
      <x:c r="B116" s="2" t="str">
        <x:v>free_raw</x:v>
      </x:c>
      <x:c r="C116" s="2" t="str">
        <x:v>uniform</x:v>
      </x:c>
      <x:c r="D116" s="2" t="str">
        <x:v>r0</x:v>
      </x:c>
      <x:c r="E116" s="3" t="n">
        <x:v>105</x:v>
      </x:c>
      <x:c r="F116" s="3" t="n">
        <x:v>4096</x:v>
      </x:c>
      <x:c r="G116" s="3" t="n">
        <x:v>64</x:v>
      </x:c>
      <x:c r="H116" s="3" t="n">
        <x:v>4096</x:v>
      </x:c>
      <x:c r="I116" s="3" t="n">
        <x:v>224508208</x:v>
      </x:c>
      <x:c r="J116" s="3" t="n">
        <x:v>97862620</x:v>
      </x:c>
      <x:c r="K116" s="3" t="n">
        <x:v>126645588</x:v>
      </x:c>
      <x:c r="L116" s="3" t="n">
        <x:v>45828</x:v>
      </x:c>
      <x:c r="M116" s="3" t="n">
        <x:v>21659920</x:v>
      </x:c>
      <x:c r="N116" s="3" t="n">
        <x:v>30428160</x:v>
      </x:c>
      <x:c r="O116" s="3" t="n">
        <x:v>26135868</x:v>
      </x:c>
      <x:c r="P116" s="3" t="n">
        <x:v>26135868</x:v>
      </x:c>
      <x:c r="Q116" s="3" t="n">
        <x:v>48417024</x:v>
      </x:c>
      <x:c r="R116" s="3" t="n">
        <x:v>66551360</x:v>
      </x:c>
      <x:c r="S116" s="3" t="n">
        <x:v>5180008</x:v>
      </x:c>
      <x:c r="T116" s="2" t="str">
        <x:v>4/3/4</x:v>
      </x:c>
      <x:c r="U116" s="2" t="str">
        <x:v>results/formal_composition/C_free_raw_r0_uniform_N4096_B64_seed105.json</x:v>
      </x:c>
      <x:c r="V116" s="2" t="str">
        <x:v>982b9a4a170c7b4589430a9eae83784e62acbf0f3af76bae2ab9bbd00e3dd3d7</x:v>
      </x:c>
    </x:row>
    <x:row r="117" ht="22" customHeight="1">
      <x:c r="A117" s="2" t="str">
        <x:v>C_free_raw_r0_zipf09_N4096_B64_seed101</x:v>
      </x:c>
      <x:c r="B117" s="2" t="str">
        <x:v>free_raw</x:v>
      </x:c>
      <x:c r="C117" s="2" t="str">
        <x:v>zipf09</x:v>
      </x:c>
      <x:c r="D117" s="2" t="str">
        <x:v>r0</x:v>
      </x:c>
      <x:c r="E117" s="3" t="n">
        <x:v>101</x:v>
      </x:c>
      <x:c r="F117" s="3" t="n">
        <x:v>4096</x:v>
      </x:c>
      <x:c r="G117" s="3" t="n">
        <x:v>64</x:v>
      </x:c>
      <x:c r="H117" s="3" t="n">
        <x:v>4096</x:v>
      </x:c>
      <x:c r="I117" s="3" t="n">
        <x:v>219000944</x:v>
      </x:c>
      <x:c r="J117" s="3" t="n">
        <x:v>95422056</x:v>
      </x:c>
      <x:c r="K117" s="3" t="n">
        <x:v>123578888</x:v>
      </x:c>
      <x:c r="L117" s="3" t="n">
        <x:v>44688</x:v>
      </x:c>
      <x:c r="M117" s="3" t="n">
        <x:v>21133360</x:v>
      </x:c>
      <x:c r="N117" s="3" t="n">
        <x:v>29705600</x:v>
      </x:c>
      <x:c r="O117" s="3" t="n">
        <x:v>25484088</x:v>
      </x:c>
      <x:c r="P117" s="3" t="n">
        <x:v>25484088</x:v>
      </x:c>
      <x:c r="Q117" s="3" t="n">
        <x:v>47195840</x:v>
      </x:c>
      <x:c r="R117" s="3" t="n">
        <x:v>64946880</x:v>
      </x:c>
      <x:c r="S117" s="3" t="n">
        <x:v>5051088</x:v>
      </x:c>
      <x:c r="T117" s="2" t="str">
        <x:v>4/3/4</x:v>
      </x:c>
      <x:c r="U117" s="2" t="str">
        <x:v>results/formal_composition/C_free_raw_r0_zipf09_N4096_B64_seed101.json</x:v>
      </x:c>
      <x:c r="V117" s="2" t="str">
        <x:v>1b1faec403ab3d5b8e3081c8c6ba7fc960b8948c7a172047077528fa78e1f8bf</x:v>
      </x:c>
    </x:row>
    <x:row r="118" ht="22" customHeight="1">
      <x:c r="A118" s="2" t="str">
        <x:v>C_free_raw_r0_zipf09_N4096_B64_seed102</x:v>
      </x:c>
      <x:c r="B118" s="2" t="str">
        <x:v>free_raw</x:v>
      </x:c>
      <x:c r="C118" s="2" t="str">
        <x:v>zipf09</x:v>
      </x:c>
      <x:c r="D118" s="2" t="str">
        <x:v>r0</x:v>
      </x:c>
      <x:c r="E118" s="3" t="n">
        <x:v>102</x:v>
      </x:c>
      <x:c r="F118" s="3" t="n">
        <x:v>4096</x:v>
      </x:c>
      <x:c r="G118" s="3" t="n">
        <x:v>64</x:v>
      </x:c>
      <x:c r="H118" s="3" t="n">
        <x:v>4096</x:v>
      </x:c>
      <x:c r="I118" s="3" t="n">
        <x:v>219833984</x:v>
      </x:c>
      <x:c r="J118" s="3" t="n">
        <x:v>95793232</x:v>
      </x:c>
      <x:c r="K118" s="3" t="n">
        <x:v>124040752</x:v>
      </x:c>
      <x:c r="L118" s="3" t="n">
        <x:v>44931</x:v>
      </x:c>
      <x:c r="M118" s="3" t="n">
        <x:v>21206480</x:v>
      </x:c>
      <x:c r="N118" s="3" t="n">
        <x:v>29812480</x:v>
      </x:c>
      <x:c r="O118" s="3" t="n">
        <x:v>25568340</x:v>
      </x:c>
      <x:c r="P118" s="3" t="n">
        <x:v>25568340</x:v>
      </x:c>
      <x:c r="Q118" s="3" t="n">
        <x:v>47400896</x:v>
      </x:c>
      <x:c r="R118" s="3" t="n">
        <x:v>65201024</x:v>
      </x:c>
      <x:c r="S118" s="3" t="n">
        <x:v>5076424</x:v>
      </x:c>
      <x:c r="T118" s="2" t="str">
        <x:v>4/3/4</x:v>
      </x:c>
      <x:c r="U118" s="2" t="str">
        <x:v>results/formal_composition/C_free_raw_r0_zipf09_N4096_B64_seed102.json</x:v>
      </x:c>
      <x:c r="V118" s="2" t="str">
        <x:v>2e3e69cd72f8cae792faa5c22fcfddc6fa0e7717d432ec80812658e95b27dc3d</x:v>
      </x:c>
    </x:row>
    <x:row r="119" ht="22" customHeight="1">
      <x:c r="A119" s="2" t="str">
        <x:v>C_free_raw_r0_zipf09_N4096_B64_seed103</x:v>
      </x:c>
      <x:c r="B119" s="2" t="str">
        <x:v>free_raw</x:v>
      </x:c>
      <x:c r="C119" s="2" t="str">
        <x:v>zipf09</x:v>
      </x:c>
      <x:c r="D119" s="2" t="str">
        <x:v>r0</x:v>
      </x:c>
      <x:c r="E119" s="3" t="n">
        <x:v>103</x:v>
      </x:c>
      <x:c r="F119" s="3" t="n">
        <x:v>4096</x:v>
      </x:c>
      <x:c r="G119" s="3" t="n">
        <x:v>64</x:v>
      </x:c>
      <x:c r="H119" s="3" t="n">
        <x:v>4096</x:v>
      </x:c>
      <x:c r="I119" s="3" t="n">
        <x:v>219339072</x:v>
      </x:c>
      <x:c r="J119" s="3" t="n">
        <x:v>95603948</x:v>
      </x:c>
      <x:c r="K119" s="3" t="n">
        <x:v>123735124</x:v>
      </x:c>
      <x:c r="L119" s="3" t="n">
        <x:v>44751</x:v>
      </x:c>
      <x:c r="M119" s="3" t="n">
        <x:v>21164080</x:v>
      </x:c>
      <x:c r="N119" s="3" t="n">
        <x:v>29729920</x:v>
      </x:c>
      <x:c r="O119" s="3" t="n">
        <x:v>25539168</x:v>
      </x:c>
      <x:c r="P119" s="3" t="n">
        <x:v>25539168</x:v>
      </x:c>
      <x:c r="Q119" s="3" t="n">
        <x:v>47289664</x:v>
      </x:c>
      <x:c r="R119" s="3" t="n">
        <x:v>65018112</x:v>
      </x:c>
      <x:c r="S119" s="3" t="n">
        <x:v>5058960</x:v>
      </x:c>
      <x:c r="T119" s="2" t="str">
        <x:v>4/3/4</x:v>
      </x:c>
      <x:c r="U119" s="2" t="str">
        <x:v>results/formal_composition/C_free_raw_r0_zipf09_N4096_B64_seed103.json</x:v>
      </x:c>
      <x:c r="V119" s="2" t="str">
        <x:v>4be958e23b4019932a0bb48796a159bbac434661338170742d855ad332fe433c</x:v>
      </x:c>
    </x:row>
    <x:row r="120" ht="22" customHeight="1">
      <x:c r="A120" s="2" t="str">
        <x:v>C_free_raw_r0_zipf09_N4096_B64_seed104</x:v>
      </x:c>
      <x:c r="B120" s="2" t="str">
        <x:v>free_raw</x:v>
      </x:c>
      <x:c r="C120" s="2" t="str">
        <x:v>zipf09</x:v>
      </x:c>
      <x:c r="D120" s="2" t="str">
        <x:v>r0</x:v>
      </x:c>
      <x:c r="E120" s="3" t="n">
        <x:v>104</x:v>
      </x:c>
      <x:c r="F120" s="3" t="n">
        <x:v>4096</x:v>
      </x:c>
      <x:c r="G120" s="3" t="n">
        <x:v>64</x:v>
      </x:c>
      <x:c r="H120" s="3" t="n">
        <x:v>4096</x:v>
      </x:c>
      <x:c r="I120" s="3" t="n">
        <x:v>219084176</x:v>
      </x:c>
      <x:c r="J120" s="3" t="n">
        <x:v>95475068</x:v>
      </x:c>
      <x:c r="K120" s="3" t="n">
        <x:v>123609108</x:v>
      </x:c>
      <x:c r="L120" s="3" t="n">
        <x:v>44721</x:v>
      </x:c>
      <x:c r="M120" s="3" t="n">
        <x:v>21138720</x:v>
      </x:c>
      <x:c r="N120" s="3" t="n">
        <x:v>29706240</x:v>
      </x:c>
      <x:c r="O120" s="3" t="n">
        <x:v>25497144</x:v>
      </x:c>
      <x:c r="P120" s="3" t="n">
        <x:v>25497144</x:v>
      </x:c>
      <x:c r="Q120" s="3" t="n">
        <x:v>47229248</x:v>
      </x:c>
      <x:c r="R120" s="3" t="n">
        <x:v>64961088</x:v>
      </x:c>
      <x:c r="S120" s="3" t="n">
        <x:v>5054592</x:v>
      </x:c>
      <x:c r="T120" s="2" t="str">
        <x:v>4/3/4</x:v>
      </x:c>
      <x:c r="U120" s="2" t="str">
        <x:v>results/formal_composition/C_free_raw_r0_zipf09_N4096_B64_seed104.json</x:v>
      </x:c>
      <x:c r="V120" s="2" t="str">
        <x:v>3dcc8aa44a4f59b77fa387f639a0a7d136593586166892b7e02e2e8ae6236171</x:v>
      </x:c>
    </x:row>
    <x:row r="121" ht="22" customHeight="1">
      <x:c r="A121" s="2" t="str">
        <x:v>C_free_raw_r0_zipf09_N4096_B64_seed105</x:v>
      </x:c>
      <x:c r="B121" s="2" t="str">
        <x:v>free_raw</x:v>
      </x:c>
      <x:c r="C121" s="2" t="str">
        <x:v>zipf09</x:v>
      </x:c>
      <x:c r="D121" s="2" t="str">
        <x:v>r0</x:v>
      </x:c>
      <x:c r="E121" s="3" t="n">
        <x:v>105</x:v>
      </x:c>
      <x:c r="F121" s="3" t="n">
        <x:v>4096</x:v>
      </x:c>
      <x:c r="G121" s="3" t="n">
        <x:v>64</x:v>
      </x:c>
      <x:c r="H121" s="3" t="n">
        <x:v>4096</x:v>
      </x:c>
      <x:c r="I121" s="3" t="n">
        <x:v>219996176</x:v>
      </x:c>
      <x:c r="J121" s="3" t="n">
        <x:v>95902632</x:v>
      </x:c>
      <x:c r="K121" s="3" t="n">
        <x:v>124093544</x:v>
      </x:c>
      <x:c r="L121" s="3" t="n">
        <x:v>44889</x:v>
      </x:c>
      <x:c r="M121" s="3" t="n">
        <x:v>21225600</x:v>
      </x:c>
      <x:c r="N121" s="3" t="n">
        <x:v>29813120</x:v>
      </x:c>
      <x:c r="O121" s="3" t="n">
        <x:v>25616484</x:v>
      </x:c>
      <x:c r="P121" s="3" t="n">
        <x:v>25616484</x:v>
      </x:c>
      <x:c r="Q121" s="3" t="n">
        <x:v>47444544</x:v>
      </x:c>
      <x:c r="R121" s="3" t="n">
        <x:v>65205440</x:v>
      </x:c>
      <x:c r="S121" s="3" t="n">
        <x:v>5074504</x:v>
      </x:c>
      <x:c r="T121" s="2" t="str">
        <x:v>4/3/4</x:v>
      </x:c>
      <x:c r="U121" s="2" t="str">
        <x:v>results/formal_composition/C_free_raw_r0_zipf09_N4096_B64_seed105.json</x:v>
      </x:c>
      <x:c r="V121" s="2" t="str">
        <x:v>271adcb53b1fddfbbe884353cac7ec4bfc57e2c2ce18d1f035d0889cee1cb7fb</x:v>
      </x:c>
    </x:row>
    <x:row r="122" ht="22" customHeight="1">
      <x:c r="A122" s="2" t="str">
        <x:v>C_free_raw_ring_hot90_N4096_B64_seed101</x:v>
      </x:c>
      <x:c r="B122" s="2" t="str">
        <x:v>free_raw</x:v>
      </x:c>
      <x:c r="C122" s="2" t="str">
        <x:v>hot90</x:v>
      </x:c>
      <x:c r="D122" s="2" t="str">
        <x:v>ring</x:v>
      </x:c>
      <x:c r="E122" s="3" t="n">
        <x:v>101</x:v>
      </x:c>
      <x:c r="F122" s="3" t="n">
        <x:v>4096</x:v>
      </x:c>
      <x:c r="G122" s="3" t="n">
        <x:v>64</x:v>
      </x:c>
      <x:c r="H122" s="3" t="n">
        <x:v>4096</x:v>
      </x:c>
      <x:c r="I122" s="3" t="n">
        <x:v>280950176</x:v>
      </x:c>
      <x:c r="J122" s="3" t="n">
        <x:v>127468136</x:v>
      </x:c>
      <x:c r="K122" s="3" t="n">
        <x:v>153482040</x:v>
      </x:c>
      <x:c r="L122" s="3" t="n">
        <x:v>43305</x:v>
      </x:c>
      <x:c r="M122" s="3" t="n">
        <x:v>28109200</x:v>
      </x:c>
      <x:c r="N122" s="3" t="n">
        <x:v>34924800</x:v>
      </x:c>
      <x:c r="O122" s="3" t="n">
        <x:v>38281620</x:v>
      </x:c>
      <x:c r="P122" s="3" t="n">
        <x:v>38281620</x:v>
      </x:c>
      <x:c r="Q122" s="3" t="n">
        <x:v>59518336</x:v>
      </x:c>
      <x:c r="R122" s="3" t="n">
        <x:v>76407040</x:v>
      </x:c>
      <x:c r="S122" s="3" t="n">
        <x:v>5427560</x:v>
      </x:c>
      <x:c r="T122" s="2" t="str">
        <x:v>4/3/4</x:v>
      </x:c>
      <x:c r="U122" s="2" t="str">
        <x:v>results/formal_composition/C_free_raw_ring_hot90_N4096_B64_seed101.json</x:v>
      </x:c>
      <x:c r="V122" s="2" t="str">
        <x:v>4be942c1efe2de65bd79e6a2c527554541b93386cb4aacff88a440c51521fa64</x:v>
      </x:c>
    </x:row>
    <x:row r="123" ht="22" customHeight="1">
      <x:c r="A123" s="2" t="str">
        <x:v>C_free_raw_ring_hot90_N4096_B64_seed102</x:v>
      </x:c>
      <x:c r="B123" s="2" t="str">
        <x:v>free_raw</x:v>
      </x:c>
      <x:c r="C123" s="2" t="str">
        <x:v>hot90</x:v>
      </x:c>
      <x:c r="D123" s="2" t="str">
        <x:v>ring</x:v>
      </x:c>
      <x:c r="E123" s="3" t="n">
        <x:v>102</x:v>
      </x:c>
      <x:c r="F123" s="3" t="n">
        <x:v>4096</x:v>
      </x:c>
      <x:c r="G123" s="3" t="n">
        <x:v>64</x:v>
      </x:c>
      <x:c r="H123" s="3" t="n">
        <x:v>4096</x:v>
      </x:c>
      <x:c r="I123" s="3" t="n">
        <x:v>280480144</x:v>
      </x:c>
      <x:c r="J123" s="3" t="n">
        <x:v>127245504</x:v>
      </x:c>
      <x:c r="K123" s="3" t="n">
        <x:v>153234640</x:v>
      </x:c>
      <x:c r="L123" s="3" t="n">
        <x:v>43230</x:v>
      </x:c>
      <x:c r="M123" s="3" t="n">
        <x:v>28063280</x:v>
      </x:c>
      <x:c r="N123" s="3" t="n">
        <x:v>34871680</x:v>
      </x:c>
      <x:c r="O123" s="3" t="n">
        <x:v>38215320</x:v>
      </x:c>
      <x:c r="P123" s="3" t="n">
        <x:v>38215320</x:v>
      </x:c>
      <x:c r="Q123" s="3" t="n">
        <x:v>59410624</x:v>
      </x:c>
      <x:c r="R123" s="3" t="n">
        <x:v>76285760</x:v>
      </x:c>
      <x:c r="S123" s="3" t="n">
        <x:v>5418160</x:v>
      </x:c>
      <x:c r="T123" s="2" t="str">
        <x:v>4/3/4</x:v>
      </x:c>
      <x:c r="U123" s="2" t="str">
        <x:v>results/formal_composition/C_free_raw_ring_hot90_N4096_B64_seed102.json</x:v>
      </x:c>
      <x:c r="V123" s="2" t="str">
        <x:v>956b91abfff5ba863904007aaf0c1653deaaf178de7812b3d819658f9e92e3c3</x:v>
      </x:c>
    </x:row>
    <x:row r="124" ht="22" customHeight="1">
      <x:c r="A124" s="2" t="str">
        <x:v>C_free_raw_ring_hot90_N4096_B64_seed103</x:v>
      </x:c>
      <x:c r="B124" s="2" t="str">
        <x:v>free_raw</x:v>
      </x:c>
      <x:c r="C124" s="2" t="str">
        <x:v>hot90</x:v>
      </x:c>
      <x:c r="D124" s="2" t="str">
        <x:v>ring</x:v>
      </x:c>
      <x:c r="E124" s="3" t="n">
        <x:v>103</x:v>
      </x:c>
      <x:c r="F124" s="3" t="n">
        <x:v>4096</x:v>
      </x:c>
      <x:c r="G124" s="3" t="n">
        <x:v>64</x:v>
      </x:c>
      <x:c r="H124" s="3" t="n">
        <x:v>4096</x:v>
      </x:c>
      <x:c r="I124" s="3" t="n">
        <x:v>280937296</x:v>
      </x:c>
      <x:c r="J124" s="3" t="n">
        <x:v>127466456</x:v>
      </x:c>
      <x:c r="K124" s="3" t="n">
        <x:v>153470840</x:v>
      </x:c>
      <x:c r="L124" s="3" t="n">
        <x:v>43305</x:v>
      </x:c>
      <x:c r="M124" s="3" t="n">
        <x:v>28107520</x:v>
      </x:c>
      <x:c r="N124" s="3" t="n">
        <x:v>34920320</x:v>
      </x:c>
      <x:c r="O124" s="3" t="n">
        <x:v>38281620</x:v>
      </x:c>
      <x:c r="P124" s="3" t="n">
        <x:v>38281620</x:v>
      </x:c>
      <x:c r="Q124" s="3" t="n">
        <x:v>59518336</x:v>
      </x:c>
      <x:c r="R124" s="3" t="n">
        <x:v>76400320</x:v>
      </x:c>
      <x:c r="S124" s="3" t="n">
        <x:v>5427560</x:v>
      </x:c>
      <x:c r="T124" s="2" t="str">
        <x:v>4/3/4</x:v>
      </x:c>
      <x:c r="U124" s="2" t="str">
        <x:v>results/formal_composition/C_free_raw_ring_hot90_N4096_B64_seed103.json</x:v>
      </x:c>
      <x:c r="V124" s="2" t="str">
        <x:v>e3a344326fde5a30d739305cf352f5d0e939668913e13298b33a0d176648576d</x:v>
      </x:c>
    </x:row>
    <x:row r="125" ht="22" customHeight="1">
      <x:c r="A125" s="2" t="str">
        <x:v>C_free_raw_ring_hot90_N4096_B64_seed104</x:v>
      </x:c>
      <x:c r="B125" s="2" t="str">
        <x:v>free_raw</x:v>
      </x:c>
      <x:c r="C125" s="2" t="str">
        <x:v>hot90</x:v>
      </x:c>
      <x:c r="D125" s="2" t="str">
        <x:v>ring</x:v>
      </x:c>
      <x:c r="E125" s="3" t="n">
        <x:v>104</x:v>
      </x:c>
      <x:c r="F125" s="3" t="n">
        <x:v>4096</x:v>
      </x:c>
      <x:c r="G125" s="3" t="n">
        <x:v>64</x:v>
      </x:c>
      <x:c r="H125" s="3" t="n">
        <x:v>4096</x:v>
      </x:c>
      <x:c r="I125" s="3" t="n">
        <x:v>283644320</x:v>
      </x:c>
      <x:c r="J125" s="3" t="n">
        <x:v>128642944</x:v>
      </x:c>
      <x:c r="K125" s="3" t="n">
        <x:v>155001376</x:v>
      </x:c>
      <x:c r="L125" s="3" t="n">
        <x:v>43692</x:v>
      </x:c>
      <x:c r="M125" s="3" t="n">
        <x:v>28382560</x:v>
      </x:c>
      <x:c r="N125" s="3" t="n">
        <x:v>35296000</x:v>
      </x:c>
      <x:c r="O125" s="3" t="n">
        <x:v>38623728</x:v>
      </x:c>
      <x:c r="P125" s="3" t="n">
        <x:v>38623728</x:v>
      </x:c>
      <x:c r="Q125" s="3" t="n">
        <x:v>60063744</x:v>
      </x:c>
      <x:c r="R125" s="3" t="n">
        <x:v>77178496</x:v>
      </x:c>
      <x:c r="S125" s="3" t="n">
        <x:v>5476064</x:v>
      </x:c>
      <x:c r="T125" s="2" t="str">
        <x:v>4/3/4</x:v>
      </x:c>
      <x:c r="U125" s="2" t="str">
        <x:v>results/formal_composition/C_free_raw_ring_hot90_N4096_B64_seed104.json</x:v>
      </x:c>
      <x:c r="V125" s="2" t="str">
        <x:v>757fd7f1a2e0112e363aa8ffc48814a7b268130f02f355b95590ccf5c520eb81</x:v>
      </x:c>
    </x:row>
    <x:row r="126" ht="22" customHeight="1">
      <x:c r="A126" s="2" t="str">
        <x:v>C_free_raw_ring_hot90_N4096_B64_seed105</x:v>
      </x:c>
      <x:c r="B126" s="2" t="str">
        <x:v>free_raw</x:v>
      </x:c>
      <x:c r="C126" s="2" t="str">
        <x:v>hot90</x:v>
      </x:c>
      <x:c r="D126" s="2" t="str">
        <x:v>ring</x:v>
      </x:c>
      <x:c r="E126" s="3" t="n">
        <x:v>105</x:v>
      </x:c>
      <x:c r="F126" s="3" t="n">
        <x:v>4096</x:v>
      </x:c>
      <x:c r="G126" s="3" t="n">
        <x:v>64</x:v>
      </x:c>
      <x:c r="H126" s="3" t="n">
        <x:v>4096</x:v>
      </x:c>
      <x:c r="I126" s="3" t="n">
        <x:v>282555248</x:v>
      </x:c>
      <x:c r="J126" s="3" t="n">
        <x:v>128206120</x:v>
      </x:c>
      <x:c r="K126" s="3" t="n">
        <x:v>154349128</x:v>
      </x:c>
      <x:c r="L126" s="3" t="n">
        <x:v>43551</x:v>
      </x:c>
      <x:c r="M126" s="3" t="n">
        <x:v>28268160</x:v>
      </x:c>
      <x:c r="N126" s="3" t="n">
        <x:v>35121280</x:v>
      </x:c>
      <x:c r="O126" s="3" t="n">
        <x:v>38499084</x:v>
      </x:c>
      <x:c r="P126" s="3" t="n">
        <x:v>38499084</x:v>
      </x:c>
      <x:c r="Q126" s="3" t="n">
        <x:v>59871040</x:v>
      </x:c>
      <x:c r="R126" s="3" t="n">
        <x:v>76838208</x:v>
      </x:c>
      <x:c r="S126" s="3" t="n">
        <x:v>5458392</x:v>
      </x:c>
      <x:c r="T126" s="2" t="str">
        <x:v>4/3/4</x:v>
      </x:c>
      <x:c r="U126" s="2" t="str">
        <x:v>results/formal_composition/C_free_raw_ring_hot90_N4096_B64_seed105.json</x:v>
      </x:c>
      <x:c r="V126" s="2" t="str">
        <x:v>a4ba499d0a114824003856f11e49fb7c7f47c74d16146fb1bd5137ee38dc62b3</x:v>
      </x:c>
    </x:row>
    <x:row r="127" ht="22" customHeight="1">
      <x:c r="A127" s="2" t="str">
        <x:v>C_free_raw_ring_scan_N4096_B64_seed101</x:v>
      </x:c>
      <x:c r="B127" s="2" t="str">
        <x:v>free_raw</x:v>
      </x:c>
      <x:c r="C127" s="2" t="str">
        <x:v>scan</x:v>
      </x:c>
      <x:c r="D127" s="2" t="str">
        <x:v>ring</x:v>
      </x:c>
      <x:c r="E127" s="3" t="n">
        <x:v>101</x:v>
      </x:c>
      <x:c r="F127" s="3" t="n">
        <x:v>4096</x:v>
      </x:c>
      <x:c r="G127" s="3" t="n">
        <x:v>64</x:v>
      </x:c>
      <x:c r="H127" s="3" t="n">
        <x:v>4096</x:v>
      </x:c>
      <x:c r="I127" s="3" t="n">
        <x:v>113565120</x:v>
      </x:c>
      <x:c r="J127" s="3" t="n">
        <x:v>51584440</x:v>
      </x:c>
      <x:c r="K127" s="3" t="n">
        <x:v>61980680</x:v>
      </x:c>
      <x:c r="L127" s="3" t="n">
        <x:v>17535</x:v>
      </x:c>
      <x:c r="M127" s="3" t="n">
        <x:v>11356880</x:v>
      </x:c>
      <x:c r="N127" s="3" t="n">
        <x:v>14074880</x:v>
      </x:c>
      <x:c r="O127" s="3" t="n">
        <x:v>15500940</x:v>
      </x:c>
      <x:c r="P127" s="3" t="n">
        <x:v>15500940</x:v>
      </x:c>
      <x:c r="Q127" s="3" t="n">
        <x:v>24095360</x:v>
      </x:c>
      <x:c r="R127" s="3" t="n">
        <x:v>30838400</x:v>
      </x:c>
      <x:c r="S127" s="3" t="n">
        <x:v>2197720</x:v>
      </x:c>
      <x:c r="T127" s="2" t="str">
        <x:v>4/3/4</x:v>
      </x:c>
      <x:c r="U127" s="2" t="str">
        <x:v>results/formal_composition/C_free_raw_ring_scan_N4096_B64_seed101.json</x:v>
      </x:c>
      <x:c r="V127" s="2" t="str">
        <x:v>70f5de1831cf37eedfaf2d11624d81eedc647b0839064a6a658e8bc37bb0fbb8</x:v>
      </x:c>
    </x:row>
    <x:row r="128" ht="22" customHeight="1">
      <x:c r="A128" s="2" t="str">
        <x:v>C_free_raw_ring_scan_N4096_B64_seed102</x:v>
      </x:c>
      <x:c r="B128" s="2" t="str">
        <x:v>free_raw</x:v>
      </x:c>
      <x:c r="C128" s="2" t="str">
        <x:v>scan</x:v>
      </x:c>
      <x:c r="D128" s="2" t="str">
        <x:v>ring</x:v>
      </x:c>
      <x:c r="E128" s="3" t="n">
        <x:v>102</x:v>
      </x:c>
      <x:c r="F128" s="3" t="n">
        <x:v>4096</x:v>
      </x:c>
      <x:c r="G128" s="3" t="n">
        <x:v>64</x:v>
      </x:c>
      <x:c r="H128" s="3" t="n">
        <x:v>4096</x:v>
      </x:c>
      <x:c r="I128" s="3" t="n">
        <x:v>113543424</x:v>
      </x:c>
      <x:c r="J128" s="3" t="n">
        <x:v>51588344</x:v>
      </x:c>
      <x:c r="K128" s="3" t="n">
        <x:v>61955080</x:v>
      </x:c>
      <x:c r="L128" s="3" t="n">
        <x:v>17535</x:v>
      </x:c>
      <x:c r="M128" s="3" t="n">
        <x:v>11353040</x:v>
      </x:c>
      <x:c r="N128" s="3" t="n">
        <x:v>14064640</x:v>
      </x:c>
      <x:c r="O128" s="3" t="n">
        <x:v>15500940</x:v>
      </x:c>
      <x:c r="P128" s="3" t="n">
        <x:v>15500940</x:v>
      </x:c>
      <x:c r="Q128" s="3" t="n">
        <x:v>24103104</x:v>
      </x:c>
      <x:c r="R128" s="3" t="n">
        <x:v>30823040</x:v>
      </x:c>
      <x:c r="S128" s="3" t="n">
        <x:v>2197720</x:v>
      </x:c>
      <x:c r="T128" s="2" t="str">
        <x:v>4/3/4</x:v>
      </x:c>
      <x:c r="U128" s="2" t="str">
        <x:v>results/formal_composition/C_free_raw_ring_scan_N4096_B64_seed102.json</x:v>
      </x:c>
      <x:c r="V128" s="2" t="str">
        <x:v>d017861f5069d2e9f84fedd9d847e6773d7496331058c782b8e01ae8d7e9ecc7</x:v>
      </x:c>
    </x:row>
    <x:row r="129" ht="22" customHeight="1">
      <x:c r="A129" s="2" t="str">
        <x:v>C_free_raw_ring_scan_N4096_B64_seed103</x:v>
      </x:c>
      <x:c r="B129" s="2" t="str">
        <x:v>free_raw</x:v>
      </x:c>
      <x:c r="C129" s="2" t="str">
        <x:v>scan</x:v>
      </x:c>
      <x:c r="D129" s="2" t="str">
        <x:v>ring</x:v>
      </x:c>
      <x:c r="E129" s="3" t="n">
        <x:v>103</x:v>
      </x:c>
      <x:c r="F129" s="3" t="n">
        <x:v>4096</x:v>
      </x:c>
      <x:c r="G129" s="3" t="n">
        <x:v>64</x:v>
      </x:c>
      <x:c r="H129" s="3" t="n">
        <x:v>4096</x:v>
      </x:c>
      <x:c r="I129" s="3" t="n">
        <x:v>113762784</x:v>
      </x:c>
      <x:c r="J129" s="3" t="n">
        <x:v>51618904</x:v>
      </x:c>
      <x:c r="K129" s="3" t="n">
        <x:v>62143880</x:v>
      </x:c>
      <x:c r="L129" s="3" t="n">
        <x:v>17535</x:v>
      </x:c>
      <x:c r="M129" s="3" t="n">
        <x:v>11381360</x:v>
      </x:c>
      <x:c r="N129" s="3" t="n">
        <x:v>14140160</x:v>
      </x:c>
      <x:c r="O129" s="3" t="n">
        <x:v>15500940</x:v>
      </x:c>
      <x:c r="P129" s="3" t="n">
        <x:v>15500940</x:v>
      </x:c>
      <x:c r="Q129" s="3" t="n">
        <x:v>24105344</x:v>
      </x:c>
      <x:c r="R129" s="3" t="n">
        <x:v>30936320</x:v>
      </x:c>
      <x:c r="S129" s="3" t="n">
        <x:v>2197720</x:v>
      </x:c>
      <x:c r="T129" s="2" t="str">
        <x:v>4/3/4</x:v>
      </x:c>
      <x:c r="U129" s="2" t="str">
        <x:v>results/formal_composition/C_free_raw_ring_scan_N4096_B64_seed103.json</x:v>
      </x:c>
      <x:c r="V129" s="2" t="str">
        <x:v>db1f38f053b356b3836245611fd7cfd9a539cb3320dfff1570712b64ef66b38f</x:v>
      </x:c>
    </x:row>
    <x:row r="130" ht="22" customHeight="1">
      <x:c r="A130" s="2" t="str">
        <x:v>C_free_raw_ring_scan_N4096_B64_seed104</x:v>
      </x:c>
      <x:c r="B130" s="2" t="str">
        <x:v>free_raw</x:v>
      </x:c>
      <x:c r="C130" s="2" t="str">
        <x:v>scan</x:v>
      </x:c>
      <x:c r="D130" s="2" t="str">
        <x:v>ring</x:v>
      </x:c>
      <x:c r="E130" s="3" t="n">
        <x:v>104</x:v>
      </x:c>
      <x:c r="F130" s="3" t="n">
        <x:v>4096</x:v>
      </x:c>
      <x:c r="G130" s="3" t="n">
        <x:v>64</x:v>
      </x:c>
      <x:c r="H130" s="3" t="n">
        <x:v>4096</x:v>
      </x:c>
      <x:c r="I130" s="3" t="n">
        <x:v>113601392</x:v>
      </x:c>
      <x:c r="J130" s="3" t="n">
        <x:v>51593512</x:v>
      </x:c>
      <x:c r="K130" s="3" t="n">
        <x:v>62007880</x:v>
      </x:c>
      <x:c r="L130" s="3" t="n">
        <x:v>17535</x:v>
      </x:c>
      <x:c r="M130" s="3" t="n">
        <x:v>11360960</x:v>
      </x:c>
      <x:c r="N130" s="3" t="n">
        <x:v>14085760</x:v>
      </x:c>
      <x:c r="O130" s="3" t="n">
        <x:v>15500940</x:v>
      </x:c>
      <x:c r="P130" s="3" t="n">
        <x:v>15500940</x:v>
      </x:c>
      <x:c r="Q130" s="3" t="n">
        <x:v>24100352</x:v>
      </x:c>
      <x:c r="R130" s="3" t="n">
        <x:v>30854720</x:v>
      </x:c>
      <x:c r="S130" s="3" t="n">
        <x:v>2197720</x:v>
      </x:c>
      <x:c r="T130" s="2" t="str">
        <x:v>4/3/4</x:v>
      </x:c>
      <x:c r="U130" s="2" t="str">
        <x:v>results/formal_composition/C_free_raw_ring_scan_N4096_B64_seed104.json</x:v>
      </x:c>
      <x:c r="V130" s="2" t="str">
        <x:v>278091ce0f894f3b354b494d028d70f22b2298616bb0910e649c5efe3a79cc89</x:v>
      </x:c>
    </x:row>
    <x:row r="131" ht="22" customHeight="1">
      <x:c r="A131" s="2" t="str">
        <x:v>C_free_raw_ring_scan_N4096_B64_seed105</x:v>
      </x:c>
      <x:c r="B131" s="2" t="str">
        <x:v>free_raw</x:v>
      </x:c>
      <x:c r="C131" s="2" t="str">
        <x:v>scan</x:v>
      </x:c>
      <x:c r="D131" s="2" t="str">
        <x:v>ring</x:v>
      </x:c>
      <x:c r="E131" s="3" t="n">
        <x:v>105</x:v>
      </x:c>
      <x:c r="F131" s="3" t="n">
        <x:v>4096</x:v>
      </x:c>
      <x:c r="G131" s="3" t="n">
        <x:v>64</x:v>
      </x:c>
      <x:c r="H131" s="3" t="n">
        <x:v>4096</x:v>
      </x:c>
      <x:c r="I131" s="3" t="n">
        <x:v>113739072</x:v>
      </x:c>
      <x:c r="J131" s="3" t="n">
        <x:v>51611192</x:v>
      </x:c>
      <x:c r="K131" s="3" t="n">
        <x:v>62127880</x:v>
      </x:c>
      <x:c r="L131" s="3" t="n">
        <x:v>17535</x:v>
      </x:c>
      <x:c r="M131" s="3" t="n">
        <x:v>11378960</x:v>
      </x:c>
      <x:c r="N131" s="3" t="n">
        <x:v>14133760</x:v>
      </x:c>
      <x:c r="O131" s="3" t="n">
        <x:v>15500940</x:v>
      </x:c>
      <x:c r="P131" s="3" t="n">
        <x:v>15500940</x:v>
      </x:c>
      <x:c r="Q131" s="3" t="n">
        <x:v>24100032</x:v>
      </x:c>
      <x:c r="R131" s="3" t="n">
        <x:v>30926720</x:v>
      </x:c>
      <x:c r="S131" s="3" t="n">
        <x:v>2197720</x:v>
      </x:c>
      <x:c r="T131" s="2" t="str">
        <x:v>4/3/4</x:v>
      </x:c>
      <x:c r="U131" s="2" t="str">
        <x:v>results/formal_composition/C_free_raw_ring_scan_N4096_B64_seed105.json</x:v>
      </x:c>
      <x:c r="V131" s="2" t="str">
        <x:v>9c4b0b4cdf8ef1ea7651c9b364c66c7e2d2cd33836e7c8fab9ee412f2221ab8b</x:v>
      </x:c>
    </x:row>
    <x:row r="132" ht="22" customHeight="1">
      <x:c r="A132" s="2" t="str">
        <x:v>C_free_raw_ring_uniform_N4096_B64_seed101</x:v>
      </x:c>
      <x:c r="B132" s="2" t="str">
        <x:v>free_raw</x:v>
      </x:c>
      <x:c r="C132" s="2" t="str">
        <x:v>uniform</x:v>
      </x:c>
      <x:c r="D132" s="2" t="str">
        <x:v>ring</x:v>
      </x:c>
      <x:c r="E132" s="3" t="n">
        <x:v>101</x:v>
      </x:c>
      <x:c r="F132" s="3" t="n">
        <x:v>4096</x:v>
      </x:c>
      <x:c r="G132" s="3" t="n">
        <x:v>64</x:v>
      </x:c>
      <x:c r="H132" s="3" t="n">
        <x:v>4096</x:v>
      </x:c>
      <x:c r="I132" s="3" t="n">
        <x:v>298073280</x:v>
      </x:c>
      <x:c r="J132" s="3" t="n">
        <x:v>135266768</x:v>
      </x:c>
      <x:c r="K132" s="3" t="n">
        <x:v>162806512</x:v>
      </x:c>
      <x:c r="L132" s="3" t="n">
        <x:v>45954</x:v>
      </x:c>
      <x:c r="M132" s="3" t="n">
        <x:v>29819040</x:v>
      </x:c>
      <x:c r="N132" s="3" t="n">
        <x:v>37035520</x:v>
      </x:c>
      <x:c r="O132" s="3" t="n">
        <x:v>40623336</x:v>
      </x:c>
      <x:c r="P132" s="3" t="n">
        <x:v>40623336</x:v>
      </x:c>
      <x:c r="Q132" s="3" t="n">
        <x:v>63170048</x:v>
      </x:c>
      <x:c r="R132" s="3" t="n">
        <x:v>81042432</x:v>
      </x:c>
      <x:c r="S132" s="3" t="n">
        <x:v>5759568</x:v>
      </x:c>
      <x:c r="T132" s="2" t="str">
        <x:v>4/3/4</x:v>
      </x:c>
      <x:c r="U132" s="2" t="str">
        <x:v>results/formal_composition/C_free_raw_ring_uniform_N4096_B64_seed101.json</x:v>
      </x:c>
      <x:c r="V132" s="2" t="str">
        <x:v>852a9a1b354c58b23f312e31ce229e0d055c68e37d23ebfe089ccc67ee828d4e</x:v>
      </x:c>
    </x:row>
    <x:row r="133" ht="22" customHeight="1">
      <x:c r="A133" s="2" t="str">
        <x:v>C_free_raw_ring_uniform_N4096_B64_seed102</x:v>
      </x:c>
      <x:c r="B133" s="2" t="str">
        <x:v>free_raw</x:v>
      </x:c>
      <x:c r="C133" s="2" t="str">
        <x:v>uniform</x:v>
      </x:c>
      <x:c r="D133" s="2" t="str">
        <x:v>ring</x:v>
      </x:c>
      <x:c r="E133" s="3" t="n">
        <x:v>102</x:v>
      </x:c>
      <x:c r="F133" s="3" t="n">
        <x:v>4096</x:v>
      </x:c>
      <x:c r="G133" s="3" t="n">
        <x:v>64</x:v>
      </x:c>
      <x:c r="H133" s="3" t="n">
        <x:v>4096</x:v>
      </x:c>
      <x:c r="I133" s="3" t="n">
        <x:v>298310432</x:v>
      </x:c>
      <x:c r="J133" s="3" t="n">
        <x:v>135383528</x:v>
      </x:c>
      <x:c r="K133" s="3" t="n">
        <x:v>162926904</x:v>
      </x:c>
      <x:c r="L133" s="3" t="n">
        <x:v>45993</x:v>
      </x:c>
      <x:c r="M133" s="3" t="n">
        <x:v>29841680</x:v>
      </x:c>
      <x:c r="N133" s="3" t="n">
        <x:v>37059840</x:v>
      </x:c>
      <x:c r="O133" s="3" t="n">
        <x:v>40657812</x:v>
      </x:c>
      <x:c r="P133" s="3" t="n">
        <x:v>40657812</x:v>
      </x:c>
      <x:c r="Q133" s="3" t="n">
        <x:v>63228288</x:v>
      </x:c>
      <x:c r="R133" s="3" t="n">
        <x:v>81100544</x:v>
      </x:c>
      <x:c r="S133" s="3" t="n">
        <x:v>5764456</x:v>
      </x:c>
      <x:c r="T133" s="2" t="str">
        <x:v>4/3/4</x:v>
      </x:c>
      <x:c r="U133" s="2" t="str">
        <x:v>results/formal_composition/C_free_raw_ring_uniform_N4096_B64_seed102.json</x:v>
      </x:c>
      <x:c r="V133" s="2" t="str">
        <x:v>112d032808de6b98eadcc2686721b3f0ff45cd6b0c4c2d0808f9b7a36bdd330f</x:v>
      </x:c>
    </x:row>
    <x:row r="134" ht="22" customHeight="1">
      <x:c r="A134" s="2" t="str">
        <x:v>C_free_raw_ring_uniform_N4096_B64_seed103</x:v>
      </x:c>
      <x:c r="B134" s="2" t="str">
        <x:v>free_raw</x:v>
      </x:c>
      <x:c r="C134" s="2" t="str">
        <x:v>uniform</x:v>
      </x:c>
      <x:c r="D134" s="2" t="str">
        <x:v>ring</x:v>
      </x:c>
      <x:c r="E134" s="3" t="n">
        <x:v>103</x:v>
      </x:c>
      <x:c r="F134" s="3" t="n">
        <x:v>4096</x:v>
      </x:c>
      <x:c r="G134" s="3" t="n">
        <x:v>64</x:v>
      </x:c>
      <x:c r="H134" s="3" t="n">
        <x:v>4096</x:v>
      </x:c>
      <x:c r="I134" s="3" t="n">
        <x:v>296617696</x:v>
      </x:c>
      <x:c r="J134" s="3" t="n">
        <x:v>134640864</x:v>
      </x:c>
      <x:c r="K134" s="3" t="n">
        <x:v>161976832</x:v>
      </x:c>
      <x:c r="L134" s="3" t="n">
        <x:v>45744</x:v>
      </x:c>
      <x:c r="M134" s="3" t="n">
        <x:v>29669920</x:v>
      </x:c>
      <x:c r="N134" s="3" t="n">
        <x:v>36832000</x:v>
      </x:c>
      <x:c r="O134" s="3" t="n">
        <x:v>40437696</x:v>
      </x:c>
      <x:c r="P134" s="3" t="n">
        <x:v>40437696</x:v>
      </x:c>
      <x:c r="Q134" s="3" t="n">
        <x:v>62886464</x:v>
      </x:c>
      <x:c r="R134" s="3" t="n">
        <x:v>80620672</x:v>
      </x:c>
      <x:c r="S134" s="3" t="n">
        <x:v>5733248</x:v>
      </x:c>
      <x:c r="T134" s="2" t="str">
        <x:v>4/3/4</x:v>
      </x:c>
      <x:c r="U134" s="2" t="str">
        <x:v>results/formal_composition/C_free_raw_ring_uniform_N4096_B64_seed103.json</x:v>
      </x:c>
      <x:c r="V134" s="2" t="str">
        <x:v>36faef5553a53083920ff0d94d4868ca47e0895961d4c55c247968cdb61311b4</x:v>
      </x:c>
    </x:row>
    <x:row r="135" ht="22" customHeight="1">
      <x:c r="A135" s="2" t="str">
        <x:v>C_free_raw_ring_uniform_N4096_B64_seed104</x:v>
      </x:c>
      <x:c r="B135" s="2" t="str">
        <x:v>free_raw</x:v>
      </x:c>
      <x:c r="C135" s="2" t="str">
        <x:v>uniform</x:v>
      </x:c>
      <x:c r="D135" s="2" t="str">
        <x:v>ring</x:v>
      </x:c>
      <x:c r="E135" s="3" t="n">
        <x:v>104</x:v>
      </x:c>
      <x:c r="F135" s="3" t="n">
        <x:v>4096</x:v>
      </x:c>
      <x:c r="G135" s="3" t="n">
        <x:v>64</x:v>
      </x:c>
      <x:c r="H135" s="3" t="n">
        <x:v>4096</x:v>
      </x:c>
      <x:c r="I135" s="3" t="n">
        <x:v>297642160</x:v>
      </x:c>
      <x:c r="J135" s="3" t="n">
        <x:v>134981688</x:v>
      </x:c>
      <x:c r="K135" s="3" t="n">
        <x:v>162660472</x:v>
      </x:c>
      <x:c r="L135" s="3" t="n">
        <x:v>45849</x:v>
      </x:c>
      <x:c r="M135" s="3" t="n">
        <x:v>29784800</x:v>
      </x:c>
      <x:c r="N135" s="3" t="n">
        <x:v>37041280</x:v>
      </x:c>
      <x:c r="O135" s="3" t="n">
        <x:v>40530516</x:v>
      </x:c>
      <x:c r="P135" s="3" t="n">
        <x:v>40530516</x:v>
      </x:c>
      <x:c r="Q135" s="3" t="n">
        <x:v>63015808</x:v>
      </x:c>
      <x:c r="R135" s="3" t="n">
        <x:v>80992832</x:v>
      </x:c>
      <x:c r="S135" s="3" t="n">
        <x:v>5746408</x:v>
      </x:c>
      <x:c r="T135" s="2" t="str">
        <x:v>4/3/4</x:v>
      </x:c>
      <x:c r="U135" s="2" t="str">
        <x:v>results/formal_composition/C_free_raw_ring_uniform_N4096_B64_seed104.json</x:v>
      </x:c>
      <x:c r="V135" s="2" t="str">
        <x:v>b981bc04157e39d608395eaa77ef8e338fa0a57bf31cb851bd1c5accd98c7f7b</x:v>
      </x:c>
    </x:row>
    <x:row r="136" ht="22" customHeight="1">
      <x:c r="A136" s="2" t="str">
        <x:v>C_free_raw_ring_uniform_N4096_B64_seed105</x:v>
      </x:c>
      <x:c r="B136" s="2" t="str">
        <x:v>free_raw</x:v>
      </x:c>
      <x:c r="C136" s="2" t="str">
        <x:v>uniform</x:v>
      </x:c>
      <x:c r="D136" s="2" t="str">
        <x:v>ring</x:v>
      </x:c>
      <x:c r="E136" s="3" t="n">
        <x:v>105</x:v>
      </x:c>
      <x:c r="F136" s="3" t="n">
        <x:v>4096</x:v>
      </x:c>
      <x:c r="G136" s="3" t="n">
        <x:v>64</x:v>
      </x:c>
      <x:c r="H136" s="3" t="n">
        <x:v>4096</x:v>
      </x:c>
      <x:c r="I136" s="3" t="n">
        <x:v>297371600</x:v>
      </x:c>
      <x:c r="J136" s="3" t="n">
        <x:v>134912816</x:v>
      </x:c>
      <x:c r="K136" s="3" t="n">
        <x:v>162458784</x:v>
      </x:c>
      <x:c r="L136" s="3" t="n">
        <x:v>45828</x:v>
      </x:c>
      <x:c r="M136" s="3" t="n">
        <x:v>29752080</x:v>
      </x:c>
      <x:c r="N136" s="3" t="n">
        <x:v>36973440</x:v>
      </x:c>
      <x:c r="O136" s="3" t="n">
        <x:v>40511952</x:v>
      </x:c>
      <x:c r="P136" s="3" t="n">
        <x:v>40511952</x:v>
      </x:c>
      <x:c r="Q136" s="3" t="n">
        <x:v>62998976</x:v>
      </x:c>
      <x:c r="R136" s="3" t="n">
        <x:v>80879424</x:v>
      </x:c>
      <x:c r="S136" s="3" t="n">
        <x:v>5743776</x:v>
      </x:c>
      <x:c r="T136" s="2" t="str">
        <x:v>4/3/4</x:v>
      </x:c>
      <x:c r="U136" s="2" t="str">
        <x:v>results/formal_composition/C_free_raw_ring_uniform_N4096_B64_seed105.json</x:v>
      </x:c>
      <x:c r="V136" s="2" t="str">
        <x:v>0e75948b3fa425bd3976afeade5cb97d0c1dd1063252164eaa271af41ce228b7</x:v>
      </x:c>
    </x:row>
    <x:row r="137" ht="22" customHeight="1">
      <x:c r="A137" s="2" t="str">
        <x:v>C_free_raw_ring_zipf09_N4096_B64_seed101</x:v>
      </x:c>
      <x:c r="B137" s="2" t="str">
        <x:v>free_raw</x:v>
      </x:c>
      <x:c r="C137" s="2" t="str">
        <x:v>zipf09</x:v>
      </x:c>
      <x:c r="D137" s="2" t="str">
        <x:v>ring</x:v>
      </x:c>
      <x:c r="E137" s="3" t="n">
        <x:v>101</x:v>
      </x:c>
      <x:c r="F137" s="3" t="n">
        <x:v>4096</x:v>
      </x:c>
      <x:c r="G137" s="3" t="n">
        <x:v>64</x:v>
      </x:c>
      <x:c r="H137" s="3" t="n">
        <x:v>4096</x:v>
      </x:c>
      <x:c r="I137" s="3" t="n">
        <x:v>290071040</x:v>
      </x:c>
      <x:c r="J137" s="3" t="n">
        <x:v>131566976</x:v>
      </x:c>
      <x:c r="K137" s="3" t="n">
        <x:v>158504064</x:v>
      </x:c>
      <x:c r="L137" s="3" t="n">
        <x:v>44688</x:v>
      </x:c>
      <x:c r="M137" s="3" t="n">
        <x:v>29024960</x:v>
      </x:c>
      <x:c r="N137" s="3" t="n">
        <x:v>36088320</x:v>
      </x:c>
      <x:c r="O137" s="3" t="n">
        <x:v>39504192</x:v>
      </x:c>
      <x:c r="P137" s="3" t="n">
        <x:v>39504192</x:v>
      </x:c>
      <x:c r="Q137" s="3" t="n">
        <x:v>61429056</x:v>
      </x:c>
      <x:c r="R137" s="3" t="n">
        <x:v>78919424</x:v>
      </x:c>
      <x:c r="S137" s="3" t="n">
        <x:v>5600896</x:v>
      </x:c>
      <x:c r="T137" s="2" t="str">
        <x:v>4/3/4</x:v>
      </x:c>
      <x:c r="U137" s="2" t="str">
        <x:v>results/formal_composition/C_free_raw_ring_zipf09_N4096_B64_seed101.json</x:v>
      </x:c>
      <x:c r="V137" s="2" t="str">
        <x:v>6defa4f324a6dd1a03b9933d66581689ad459809f7660f6833a147b1820e37b7</x:v>
      </x:c>
    </x:row>
    <x:row r="138" ht="22" customHeight="1">
      <x:c r="A138" s="2" t="str">
        <x:v>C_free_raw_ring_zipf09_N4096_B64_seed102</x:v>
      </x:c>
      <x:c r="B138" s="2" t="str">
        <x:v>free_raw</x:v>
      </x:c>
      <x:c r="C138" s="2" t="str">
        <x:v>zipf09</x:v>
      </x:c>
      <x:c r="D138" s="2" t="str">
        <x:v>ring</x:v>
      </x:c>
      <x:c r="E138" s="3" t="n">
        <x:v>102</x:v>
      </x:c>
      <x:c r="F138" s="3" t="n">
        <x:v>4096</x:v>
      </x:c>
      <x:c r="G138" s="3" t="n">
        <x:v>64</x:v>
      </x:c>
      <x:c r="H138" s="3" t="n">
        <x:v>4096</x:v>
      </x:c>
      <x:c r="I138" s="3" t="n">
        <x:v>291413632</x:v>
      </x:c>
      <x:c r="J138" s="3" t="n">
        <x:v>132269464</x:v>
      </x:c>
      <x:c r="K138" s="3" t="n">
        <x:v>159144168</x:v>
      </x:c>
      <x:c r="L138" s="3" t="n">
        <x:v>44931</x:v>
      </x:c>
      <x:c r="M138" s="3" t="n">
        <x:v>29149520</x:v>
      </x:c>
      <x:c r="N138" s="3" t="n">
        <x:v>36195840</x:v>
      </x:c>
      <x:c r="O138" s="3" t="n">
        <x:v>39719004</x:v>
      </x:c>
      <x:c r="P138" s="3" t="n">
        <x:v>39719004</x:v>
      </x:c>
      <x:c r="Q138" s="3" t="n">
        <x:v>61783424</x:v>
      </x:c>
      <x:c r="R138" s="3" t="n">
        <x:v>79215488</x:v>
      </x:c>
      <x:c r="S138" s="3" t="n">
        <x:v>5631352</x:v>
      </x:c>
      <x:c r="T138" s="2" t="str">
        <x:v>4/3/4</x:v>
      </x:c>
      <x:c r="U138" s="2" t="str">
        <x:v>results/formal_composition/C_free_raw_ring_zipf09_N4096_B64_seed102.json</x:v>
      </x:c>
      <x:c r="V138" s="2" t="str">
        <x:v>714146af314583301236526c1cf4f96f14df1cde1ef381797c3da7b391c00ce4</x:v>
      </x:c>
    </x:row>
    <x:row r="139" ht="22" customHeight="1">
      <x:c r="A139" s="2" t="str">
        <x:v>C_free_raw_ring_zipf09_N4096_B64_seed103</x:v>
      </x:c>
      <x:c r="B139" s="2" t="str">
        <x:v>free_raw</x:v>
      </x:c>
      <x:c r="C139" s="2" t="str">
        <x:v>zipf09</x:v>
      </x:c>
      <x:c r="D139" s="2" t="str">
        <x:v>ring</x:v>
      </x:c>
      <x:c r="E139" s="3" t="n">
        <x:v>103</x:v>
      </x:c>
      <x:c r="F139" s="3" t="n">
        <x:v>4096</x:v>
      </x:c>
      <x:c r="G139" s="3" t="n">
        <x:v>64</x:v>
      </x:c>
      <x:c r="H139" s="3" t="n">
        <x:v>4096</x:v>
      </x:c>
      <x:c r="I139" s="3" t="n">
        <x:v>290359920</x:v>
      </x:c>
      <x:c r="J139" s="3" t="n">
        <x:v>131732392</x:v>
      </x:c>
      <x:c r="K139" s="3" t="n">
        <x:v>158627528</x:v>
      </x:c>
      <x:c r="L139" s="3" t="n">
        <x:v>44751</x:v>
      </x:c>
      <x:c r="M139" s="3" t="n">
        <x:v>29050880</x:v>
      </x:c>
      <x:c r="N139" s="3" t="n">
        <x:v>36099200</x:v>
      </x:c>
      <x:c r="O139" s="3" t="n">
        <x:v>39559884</x:v>
      </x:c>
      <x:c r="P139" s="3" t="n">
        <x:v>39559884</x:v>
      </x:c>
      <x:c r="Q139" s="3" t="n">
        <x:v>61510592</x:v>
      </x:c>
      <x:c r="R139" s="3" t="n">
        <x:v>78970688</x:v>
      </x:c>
      <x:c r="S139" s="3" t="n">
        <x:v>5608792</x:v>
      </x:c>
      <x:c r="T139" s="2" t="str">
        <x:v>4/3/4</x:v>
      </x:c>
      <x:c r="U139" s="2" t="str">
        <x:v>results/formal_composition/C_free_raw_ring_zipf09_N4096_B64_seed103.json</x:v>
      </x:c>
      <x:c r="V139" s="2" t="str">
        <x:v>99a7e422d5ee434a4b7e19101db6ecdfd2d5880d43e11446cd2f5781531d4c3b</x:v>
      </x:c>
    </x:row>
    <x:row r="140" ht="22" customHeight="1">
      <x:c r="A140" s="2" t="str">
        <x:v>C_free_raw_ring_zipf09_N4096_B64_seed104</x:v>
      </x:c>
      <x:c r="B140" s="2" t="str">
        <x:v>free_raw</x:v>
      </x:c>
      <x:c r="C140" s="2" t="str">
        <x:v>zipf09</x:v>
      </x:c>
      <x:c r="D140" s="2" t="str">
        <x:v>ring</x:v>
      </x:c>
      <x:c r="E140" s="3" t="n">
        <x:v>104</x:v>
      </x:c>
      <x:c r="F140" s="3" t="n">
        <x:v>4096</x:v>
      </x:c>
      <x:c r="G140" s="3" t="n">
        <x:v>64</x:v>
      </x:c>
      <x:c r="H140" s="3" t="n">
        <x:v>4096</x:v>
      </x:c>
      <x:c r="I140" s="3" t="n">
        <x:v>290188800</x:v>
      </x:c>
      <x:c r="J140" s="3" t="n">
        <x:v>131659912</x:v>
      </x:c>
      <x:c r="K140" s="3" t="n">
        <x:v>158528888</x:v>
      </x:c>
      <x:c r="L140" s="3" t="n">
        <x:v>44721</x:v>
      </x:c>
      <x:c r="M140" s="3" t="n">
        <x:v>29032560</x:v>
      </x:c>
      <x:c r="N140" s="3" t="n">
        <x:v>36078080</x:v>
      </x:c>
      <x:c r="O140" s="3" t="n">
        <x:v>39533364</x:v>
      </x:c>
      <x:c r="P140" s="3" t="n">
        <x:v>39533364</x:v>
      </x:c>
      <x:c r="Q140" s="3" t="n">
        <x:v>61484032</x:v>
      </x:c>
      <x:c r="R140" s="3" t="n">
        <x:v>78922368</x:v>
      </x:c>
      <x:c r="S140" s="3" t="n">
        <x:v>5605032</x:v>
      </x:c>
      <x:c r="T140" s="2" t="str">
        <x:v>4/3/4</x:v>
      </x:c>
      <x:c r="U140" s="2" t="str">
        <x:v>results/formal_composition/C_free_raw_ring_zipf09_N4096_B64_seed104.json</x:v>
      </x:c>
      <x:c r="V140" s="2" t="str">
        <x:v>cf2352df64107b24e3a1f069ca89f42cfa52fba4356b6ed0b4949c0e6726b798</x:v>
      </x:c>
    </x:row>
    <x:row r="141" ht="22" customHeight="1">
      <x:c r="A141" s="2" t="str">
        <x:v>C_free_raw_ring_zipf09_N4096_B64_seed105</x:v>
      </x:c>
      <x:c r="B141" s="2" t="str">
        <x:v>free_raw</x:v>
      </x:c>
      <x:c r="C141" s="2" t="str">
        <x:v>zipf09</x:v>
      </x:c>
      <x:c r="D141" s="2" t="str">
        <x:v>ring</x:v>
      </x:c>
      <x:c r="E141" s="3" t="n">
        <x:v>105</x:v>
      </x:c>
      <x:c r="F141" s="3" t="n">
        <x:v>4096</x:v>
      </x:c>
      <x:c r="G141" s="3" t="n">
        <x:v>64</x:v>
      </x:c>
      <x:c r="H141" s="3" t="n">
        <x:v>4096</x:v>
      </x:c>
      <x:c r="I141" s="3" t="n">
        <x:v>291302160</x:v>
      </x:c>
      <x:c r="J141" s="3" t="n">
        <x:v>132140568</x:v>
      </x:c>
      <x:c r="K141" s="3" t="n">
        <x:v>159161592</x:v>
      </x:c>
      <x:c r="L141" s="3" t="n">
        <x:v>44889</x:v>
      </x:c>
      <x:c r="M141" s="3" t="n">
        <x:v>29147200</x:v>
      </x:c>
      <x:c r="N141" s="3" t="n">
        <x:v>36228480</x:v>
      </x:c>
      <x:c r="O141" s="3" t="n">
        <x:v>39681876</x:v>
      </x:c>
      <x:c r="P141" s="3" t="n">
        <x:v>39681876</x:v>
      </x:c>
      <x:c r="Q141" s="3" t="n">
        <x:v>61695488</x:v>
      </x:c>
      <x:c r="R141" s="3" t="n">
        <x:v>79241152</x:v>
      </x:c>
      <x:c r="S141" s="3" t="n">
        <x:v>5626088</x:v>
      </x:c>
      <x:c r="T141" s="2" t="str">
        <x:v>4/3/4</x:v>
      </x:c>
      <x:c r="U141" s="2" t="str">
        <x:v>results/formal_composition/C_free_raw_ring_zipf09_N4096_B64_seed105.json</x:v>
      </x:c>
      <x:c r="V141" s="2" t="str">
        <x:v>43440d5fa6428de7775bcf29c4afe463e94b7b3767b5eab3a2fbb813bb1a60d3</x:v>
      </x:c>
    </x:row>
    <x:row r="142" ht="22" customHeight="1">
      <x:c r="A142" s="2" t="str">
        <x:v>C_free_raw_sde_hot90_N4096_B64_seed101</x:v>
      </x:c>
      <x:c r="B142" s="2" t="str">
        <x:v>free_raw</x:v>
      </x:c>
      <x:c r="C142" s="2" t="str">
        <x:v>hot90</x:v>
      </x:c>
      <x:c r="D142" s="2" t="str">
        <x:v>sde</x:v>
      </x:c>
      <x:c r="E142" s="3" t="n">
        <x:v>101</x:v>
      </x:c>
      <x:c r="F142" s="3" t="n">
        <x:v>4096</x:v>
      </x:c>
      <x:c r="G142" s="3" t="n">
        <x:v>64</x:v>
      </x:c>
      <x:c r="H142" s="3" t="n">
        <x:v>4096</x:v>
      </x:c>
      <x:c r="I142" s="3" t="n">
        <x:v>148067688</x:v>
      </x:c>
      <x:c r="J142" s="3" t="n">
        <x:v>84347480</x:v>
      </x:c>
      <x:c r="K142" s="3" t="n">
        <x:v>63720208</x:v>
      </x:c>
      <x:c r="L142" s="3" t="n">
        <x:v>28870</x:v>
      </x:c>
      <x:c r="M142" s="3" t="n">
        <x:v>41886720</x:v>
      </x:c>
      <x:c r="N142" s="3" t="n">
        <x:v>15013440</x:v>
      </x:c>
      <x:c r="O142" s="3" t="n">
        <x:v>26702784</x:v>
      </x:c>
      <x:c r="P142" s="3" t="n">
        <x:v>26702784</x:v>
      </x:c>
      <x:c r="Q142" s="3" t="n">
        <x:v>14718656</x:v>
      </x:c>
      <x:c r="R142" s="3" t="n">
        <x:v>20387264</x:v>
      </x:c>
      <x:c r="S142" s="3" t="n">
        <x:v>2656040</x:v>
      </x:c>
      <x:c r="T142" s="2" t="str">
        <x:v>4/3/4</x:v>
      </x:c>
      <x:c r="U142" s="2" t="str">
        <x:v>results/formal_composition/C_free_raw_sde_hot90_N4096_B64_seed101.json</x:v>
      </x:c>
      <x:c r="V142" s="2" t="str">
        <x:v>d0ff76738dfaa4ee16f662baf7597a3d74a9cf1b050005182397ff206f98ec02</x:v>
      </x:c>
    </x:row>
    <x:row r="143" ht="22" customHeight="1">
      <x:c r="A143" s="2" t="str">
        <x:v>C_free_raw_sde_hot90_N4096_B64_seed102</x:v>
      </x:c>
      <x:c r="B143" s="2" t="str">
        <x:v>free_raw</x:v>
      </x:c>
      <x:c r="C143" s="2" t="str">
        <x:v>hot90</x:v>
      </x:c>
      <x:c r="D143" s="2" t="str">
        <x:v>sde</x:v>
      </x:c>
      <x:c r="E143" s="3" t="n">
        <x:v>102</x:v>
      </x:c>
      <x:c r="F143" s="3" t="n">
        <x:v>4096</x:v>
      </x:c>
      <x:c r="G143" s="3" t="n">
        <x:v>64</x:v>
      </x:c>
      <x:c r="H143" s="3" t="n">
        <x:v>4096</x:v>
      </x:c>
      <x:c r="I143" s="3" t="n">
        <x:v>147771304</x:v>
      </x:c>
      <x:c r="J143" s="3" t="n">
        <x:v>84175500</x:v>
      </x:c>
      <x:c r="K143" s="3" t="n">
        <x:v>63595804</x:v>
      </x:c>
      <x:c r="L143" s="3" t="n">
        <x:v>28820</x:v>
      </x:c>
      <x:c r="M143" s="3" t="n">
        <x:v>41796160</x:v>
      </x:c>
      <x:c r="N143" s="3" t="n">
        <x:v>14988480</x:v>
      </x:c>
      <x:c r="O143" s="3" t="n">
        <x:v>26645052</x:v>
      </x:c>
      <x:c r="P143" s="3" t="n">
        <x:v>26645052</x:v>
      </x:c>
      <x:c r="Q143" s="3" t="n">
        <x:v>14696768</x:v>
      </x:c>
      <x:c r="R143" s="3" t="n">
        <x:v>20348352</x:v>
      </x:c>
      <x:c r="S143" s="3" t="n">
        <x:v>2651440</x:v>
      </x:c>
      <x:c r="T143" s="2" t="str">
        <x:v>4/3/4</x:v>
      </x:c>
      <x:c r="U143" s="2" t="str">
        <x:v>results/formal_composition/C_free_raw_sde_hot90_N4096_B64_seed102.json</x:v>
      </x:c>
      <x:c r="V143" s="2" t="str">
        <x:v>c13afc5f24dfc8f8f802b38341ebc8690a5d0b2c5ff8a353cd6cfedf0a49083a</x:v>
      </x:c>
    </x:row>
    <x:row r="144" ht="22" customHeight="1">
      <x:c r="A144" s="2" t="str">
        <x:v>C_free_raw_sde_hot90_N4096_B64_seed103</x:v>
      </x:c>
      <x:c r="B144" s="2" t="str">
        <x:v>free_raw</x:v>
      </x:c>
      <x:c r="C144" s="2" t="str">
        <x:v>hot90</x:v>
      </x:c>
      <x:c r="D144" s="2" t="str">
        <x:v>sde</x:v>
      </x:c>
      <x:c r="E144" s="3" t="n">
        <x:v>103</x:v>
      </x:c>
      <x:c r="F144" s="3" t="n">
        <x:v>4096</x:v>
      </x:c>
      <x:c r="G144" s="3" t="n">
        <x:v>64</x:v>
      </x:c>
      <x:c r="H144" s="3" t="n">
        <x:v>4096</x:v>
      </x:c>
      <x:c r="I144" s="3" t="n">
        <x:v>148246776</x:v>
      </x:c>
      <x:c r="J144" s="3" t="n">
        <x:v>84460640</x:v>
      </x:c>
      <x:c r="K144" s="3" t="n">
        <x:v>63786136</x:v>
      </x:c>
      <x:c r="L144" s="3" t="n">
        <x:v>28870</x:v>
      </x:c>
      <x:c r="M144" s="3" t="n">
        <x:v>41965440</x:v>
      </x:c>
      <x:c r="N144" s="3" t="n">
        <x:v>15013440</x:v>
      </x:c>
      <x:c r="O144" s="3" t="n">
        <x:v>26752968</x:v>
      </x:c>
      <x:c r="P144" s="3" t="n">
        <x:v>26752968</x:v>
      </x:c>
      <x:c r="Q144" s="3" t="n">
        <x:v>14702912</x:v>
      </x:c>
      <x:c r="R144" s="3" t="n">
        <x:v>20403008</x:v>
      </x:c>
      <x:c r="S144" s="3" t="n">
        <x:v>2656040</x:v>
      </x:c>
      <x:c r="T144" s="2" t="str">
        <x:v>4/3/4</x:v>
      </x:c>
      <x:c r="U144" s="2" t="str">
        <x:v>results/formal_composition/C_free_raw_sde_hot90_N4096_B64_seed103.json</x:v>
      </x:c>
      <x:c r="V144" s="2" t="str">
        <x:v>a167f218161baa2a06b08b096635ca35875ccdd1958cf3dcd837f88e4778f7d5</x:v>
      </x:c>
    </x:row>
    <x:row r="145" ht="22" customHeight="1">
      <x:c r="A145" s="2" t="str">
        <x:v>C_free_raw_sde_hot90_N4096_B64_seed104</x:v>
      </x:c>
      <x:c r="B145" s="2" t="str">
        <x:v>free_raw</x:v>
      </x:c>
      <x:c r="C145" s="2" t="str">
        <x:v>hot90</x:v>
      </x:c>
      <x:c r="D145" s="2" t="str">
        <x:v>sde</x:v>
      </x:c>
      <x:c r="E145" s="3" t="n">
        <x:v>104</x:v>
      </x:c>
      <x:c r="F145" s="3" t="n">
        <x:v>4096</x:v>
      </x:c>
      <x:c r="G145" s="3" t="n">
        <x:v>64</x:v>
      </x:c>
      <x:c r="H145" s="3" t="n">
        <x:v>4096</x:v>
      </x:c>
      <x:c r="I145" s="3" t="n">
        <x:v>149406776</x:v>
      </x:c>
      <x:c r="J145" s="3" t="n">
        <x:v>85111948</x:v>
      </x:c>
      <x:c r="K145" s="3" t="n">
        <x:v>64294828</x:v>
      </x:c>
      <x:c r="L145" s="3" t="n">
        <x:v>29128</x:v>
      </x:c>
      <x:c r="M145" s="3" t="n">
        <x:v>42268480</x:v>
      </x:c>
      <x:c r="N145" s="3" t="n">
        <x:v>15146560</x:v>
      </x:c>
      <x:c r="O145" s="3" t="n">
        <x:v>26946156</x:v>
      </x:c>
      <x:c r="P145" s="3" t="n">
        <x:v>26946156</x:v>
      </x:c>
      <x:c r="Q145" s="3" t="n">
        <x:v>14848704</x:v>
      </x:c>
      <x:c r="R145" s="3" t="n">
        <x:v>20570944</x:v>
      </x:c>
      <x:c r="S145" s="3" t="n">
        <x:v>2679776</x:v>
      </x:c>
      <x:c r="T145" s="2" t="str">
        <x:v>4/3/4</x:v>
      </x:c>
      <x:c r="U145" s="2" t="str">
        <x:v>results/formal_composition/C_free_raw_sde_hot90_N4096_B64_seed104.json</x:v>
      </x:c>
      <x:c r="V145" s="2" t="str">
        <x:v>315e3e301c1cd3053f81bfbae22f12bb281214233a2464656738a8b6285fec64</x:v>
      </x:c>
    </x:row>
    <x:row r="146" ht="22" customHeight="1">
      <x:c r="A146" s="2" t="str">
        <x:v>C_free_raw_sde_hot90_N4096_B64_seed105</x:v>
      </x:c>
      <x:c r="B146" s="2" t="str">
        <x:v>free_raw</x:v>
      </x:c>
      <x:c r="C146" s="2" t="str">
        <x:v>hot90</x:v>
      </x:c>
      <x:c r="D146" s="2" t="str">
        <x:v>sde</x:v>
      </x:c>
      <x:c r="E146" s="3" t="n">
        <x:v>105</x:v>
      </x:c>
      <x:c r="F146" s="3" t="n">
        <x:v>4096</x:v>
      </x:c>
      <x:c r="G146" s="3" t="n">
        <x:v>64</x:v>
      </x:c>
      <x:c r="H146" s="3" t="n">
        <x:v>4096</x:v>
      </x:c>
      <x:c r="I146" s="3" t="n">
        <x:v>148840056</x:v>
      </x:c>
      <x:c r="J146" s="3" t="n">
        <x:v>84784504</x:v>
      </x:c>
      <x:c r="K146" s="3" t="n">
        <x:v>64055552</x:v>
      </x:c>
      <x:c r="L146" s="3" t="n">
        <x:v>29034</x:v>
      </x:c>
      <x:c r="M146" s="3" t="n">
        <x:v>42095360</x:v>
      </x:c>
      <x:c r="N146" s="3" t="n">
        <x:v>15096640</x:v>
      </x:c>
      <x:c r="O146" s="3" t="n">
        <x:v>26835792</x:v>
      </x:c>
      <x:c r="P146" s="3" t="n">
        <x:v>26835792</x:v>
      </x:c>
      <x:c r="Q146" s="3" t="n">
        <x:v>14808128</x:v>
      </x:c>
      <x:c r="R146" s="3" t="n">
        <x:v>20497216</x:v>
      </x:c>
      <x:c r="S146" s="3" t="n">
        <x:v>2671128</x:v>
      </x:c>
      <x:c r="T146" s="2" t="str">
        <x:v>4/3/4</x:v>
      </x:c>
      <x:c r="U146" s="2" t="str">
        <x:v>results/formal_composition/C_free_raw_sde_hot90_N4096_B64_seed105.json</x:v>
      </x:c>
      <x:c r="V146" s="2" t="str">
        <x:v>d250e77693bd9c38c7e435d24fd8b2c8da95b901898dde95de955c253e882ac5</x:v>
      </x:c>
    </x:row>
    <x:row r="147" ht="22" customHeight="1">
      <x:c r="A147" s="2" t="str">
        <x:v>C_free_raw_sde_scan_N4096_B64_seed101</x:v>
      </x:c>
      <x:c r="B147" s="2" t="str">
        <x:v>free_raw</x:v>
      </x:c>
      <x:c r="C147" s="2" t="str">
        <x:v>scan</x:v>
      </x:c>
      <x:c r="D147" s="2" t="str">
        <x:v>sde</x:v>
      </x:c>
      <x:c r="E147" s="3" t="n">
        <x:v>101</x:v>
      </x:c>
      <x:c r="F147" s="3" t="n">
        <x:v>4096</x:v>
      </x:c>
      <x:c r="G147" s="3" t="n">
        <x:v>64</x:v>
      </x:c>
      <x:c r="H147" s="3" t="n">
        <x:v>4096</x:v>
      </x:c>
      <x:c r="I147" s="3" t="n">
        <x:v>59953008</x:v>
      </x:c>
      <x:c r="J147" s="3" t="n">
        <x:v>34153300</x:v>
      </x:c>
      <x:c r="K147" s="3" t="n">
        <x:v>25799708</x:v>
      </x:c>
      <x:c r="L147" s="3" t="n">
        <x:v>11690</x:v>
      </x:c>
      <x:c r="M147" s="3" t="n">
        <x:v>16960320</x:v>
      </x:c>
      <x:c r="N147" s="3" t="n">
        <x:v>6077760</x:v>
      </x:c>
      <x:c r="O147" s="3" t="n">
        <x:v>10812204</x:v>
      </x:c>
      <x:c r="P147" s="3" t="n">
        <x:v>10812204</x:v>
      </x:c>
      <x:c r="Q147" s="3" t="n">
        <x:v>5959936</x:v>
      </x:c>
      <x:c r="R147" s="3" t="n">
        <x:v>8255104</x:v>
      </x:c>
      <x:c r="S147" s="3" t="n">
        <x:v>1075480</x:v>
      </x:c>
      <x:c r="T147" s="2" t="str">
        <x:v>4/3/4</x:v>
      </x:c>
      <x:c r="U147" s="2" t="str">
        <x:v>results/formal_composition/C_free_raw_sde_scan_N4096_B64_seed101.json</x:v>
      </x:c>
      <x:c r="V147" s="2" t="str">
        <x:v>196fb4a81bb8c7698a202e9967be568881726454e7c68bc1533e02774cd1ffb5</x:v>
      </x:c>
    </x:row>
    <x:row r="148" ht="22" customHeight="1">
      <x:c r="A148" s="2" t="str">
        <x:v>C_free_raw_sde_scan_N4096_B64_seed102</x:v>
      </x:c>
      <x:c r="B148" s="2" t="str">
        <x:v>free_raw</x:v>
      </x:c>
      <x:c r="C148" s="2" t="str">
        <x:v>scan</x:v>
      </x:c>
      <x:c r="D148" s="2" t="str">
        <x:v>sde</x:v>
      </x:c>
      <x:c r="E148" s="3" t="n">
        <x:v>102</x:v>
      </x:c>
      <x:c r="F148" s="3" t="n">
        <x:v>4096</x:v>
      </x:c>
      <x:c r="G148" s="3" t="n">
        <x:v>64</x:v>
      </x:c>
      <x:c r="H148" s="3" t="n">
        <x:v>4096</x:v>
      </x:c>
      <x:c r="I148" s="3" t="n">
        <x:v>59983584</x:v>
      </x:c>
      <x:c r="J148" s="3" t="n">
        <x:v>34172620</x:v>
      </x:c>
      <x:c r="K148" s="3" t="n">
        <x:v>25810964</x:v>
      </x:c>
      <x:c r="L148" s="3" t="n">
        <x:v>11690</x:v>
      </x:c>
      <x:c r="M148" s="3" t="n">
        <x:v>16973760</x:v>
      </x:c>
      <x:c r="N148" s="3" t="n">
        <x:v>6077760</x:v>
      </x:c>
      <x:c r="O148" s="3" t="n">
        <x:v>10820772</x:v>
      </x:c>
      <x:c r="P148" s="3" t="n">
        <x:v>10820772</x:v>
      </x:c>
      <x:c r="Q148" s="3" t="n">
        <x:v>5957248</x:v>
      </x:c>
      <x:c r="R148" s="3" t="n">
        <x:v>8257792</x:v>
      </x:c>
      <x:c r="S148" s="3" t="n">
        <x:v>1075480</x:v>
      </x:c>
      <x:c r="T148" s="2" t="str">
        <x:v>4/3/4</x:v>
      </x:c>
      <x:c r="U148" s="2" t="str">
        <x:v>results/formal_composition/C_free_raw_sde_scan_N4096_B64_seed102.json</x:v>
      </x:c>
      <x:c r="V148" s="2" t="str">
        <x:v>d448c8ed074f4530ae7927b9d87116bdf00991ae96f7efdc486661a6cc155d8a</x:v>
      </x:c>
    </x:row>
    <x:row r="149" ht="22" customHeight="1">
      <x:c r="A149" s="2" t="str">
        <x:v>C_free_raw_sde_scan_N4096_B64_seed103</x:v>
      </x:c>
      <x:c r="B149" s="2" t="str">
        <x:v>free_raw</x:v>
      </x:c>
      <x:c r="C149" s="2" t="str">
        <x:v>scan</x:v>
      </x:c>
      <x:c r="D149" s="2" t="str">
        <x:v>sde</x:v>
      </x:c>
      <x:c r="E149" s="3" t="n">
        <x:v>103</x:v>
      </x:c>
      <x:c r="F149" s="3" t="n">
        <x:v>4096</x:v>
      </x:c>
      <x:c r="G149" s="3" t="n">
        <x:v>64</x:v>
      </x:c>
      <x:c r="H149" s="3" t="n">
        <x:v>4096</x:v>
      </x:c>
      <x:c r="I149" s="3" t="n">
        <x:v>59963200</x:v>
      </x:c>
      <x:c r="J149" s="3" t="n">
        <x:v>34159740</x:v>
      </x:c>
      <x:c r="K149" s="3" t="n">
        <x:v>25803460</x:v>
      </x:c>
      <x:c r="L149" s="3" t="n">
        <x:v>11690</x:v>
      </x:c>
      <x:c r="M149" s="3" t="n">
        <x:v>16964800</x:v>
      </x:c>
      <x:c r="N149" s="3" t="n">
        <x:v>6077760</x:v>
      </x:c>
      <x:c r="O149" s="3" t="n">
        <x:v>10815060</x:v>
      </x:c>
      <x:c r="P149" s="3" t="n">
        <x:v>10815060</x:v>
      </x:c>
      <x:c r="Q149" s="3" t="n">
        <x:v>5959040</x:v>
      </x:c>
      <x:c r="R149" s="3" t="n">
        <x:v>8256000</x:v>
      </x:c>
      <x:c r="S149" s="3" t="n">
        <x:v>1075480</x:v>
      </x:c>
      <x:c r="T149" s="2" t="str">
        <x:v>4/3/4</x:v>
      </x:c>
      <x:c r="U149" s="2" t="str">
        <x:v>results/formal_composition/C_free_raw_sde_scan_N4096_B64_seed103.json</x:v>
      </x:c>
      <x:c r="V149" s="2" t="str">
        <x:v>929960ab8e504d8c3e88180297dd50aaf82fa83c783d19ea61f52c9bb89d0246</x:v>
      </x:c>
    </x:row>
    <x:row r="150" ht="22" customHeight="1">
      <x:c r="A150" s="2" t="str">
        <x:v>C_free_raw_sde_scan_N4096_B64_seed104</x:v>
      </x:c>
      <x:c r="B150" s="2" t="str">
        <x:v>free_raw</x:v>
      </x:c>
      <x:c r="C150" s="2" t="str">
        <x:v>scan</x:v>
      </x:c>
      <x:c r="D150" s="2" t="str">
        <x:v>sde</x:v>
      </x:c>
      <x:c r="E150" s="3" t="n">
        <x:v>104</x:v>
      </x:c>
      <x:c r="F150" s="3" t="n">
        <x:v>4096</x:v>
      </x:c>
      <x:c r="G150" s="3" t="n">
        <x:v>64</x:v>
      </x:c>
      <x:c r="H150" s="3" t="n">
        <x:v>4096</x:v>
      </x:c>
      <x:c r="I150" s="3" t="n">
        <x:v>60022896</x:v>
      </x:c>
      <x:c r="J150" s="3" t="n">
        <x:v>34197460</x:v>
      </x:c>
      <x:c r="K150" s="3" t="n">
        <x:v>25825436</x:v>
      </x:c>
      <x:c r="L150" s="3" t="n">
        <x:v>11690</x:v>
      </x:c>
      <x:c r="M150" s="3" t="n">
        <x:v>16991040</x:v>
      </x:c>
      <x:c r="N150" s="3" t="n">
        <x:v>6077760</x:v>
      </x:c>
      <x:c r="O150" s="3" t="n">
        <x:v>10831788</x:v>
      </x:c>
      <x:c r="P150" s="3" t="n">
        <x:v>10831788</x:v>
      </x:c>
      <x:c r="Q150" s="3" t="n">
        <x:v>5953792</x:v>
      </x:c>
      <x:c r="R150" s="3" t="n">
        <x:v>8261248</x:v>
      </x:c>
      <x:c r="S150" s="3" t="n">
        <x:v>1075480</x:v>
      </x:c>
      <x:c r="T150" s="2" t="str">
        <x:v>4/3/4</x:v>
      </x:c>
      <x:c r="U150" s="2" t="str">
        <x:v>results/formal_composition/C_free_raw_sde_scan_N4096_B64_seed104.json</x:v>
      </x:c>
      <x:c r="V150" s="2" t="str">
        <x:v>d17cba819512ff6186218c819643d352c4a58da6693644a0d1de5ac1d953da9d</x:v>
      </x:c>
    </x:row>
    <x:row r="151" ht="22" customHeight="1">
      <x:c r="A151" s="2" t="str">
        <x:v>C_free_raw_sde_scan_N4096_B64_seed105</x:v>
      </x:c>
      <x:c r="B151" s="2" t="str">
        <x:v>free_raw</x:v>
      </x:c>
      <x:c r="C151" s="2" t="str">
        <x:v>scan</x:v>
      </x:c>
      <x:c r="D151" s="2" t="str">
        <x:v>sde</x:v>
      </x:c>
      <x:c r="E151" s="3" t="n">
        <x:v>105</x:v>
      </x:c>
      <x:c r="F151" s="3" t="n">
        <x:v>4096</x:v>
      </x:c>
      <x:c r="G151" s="3" t="n">
        <x:v>64</x:v>
      </x:c>
      <x:c r="H151" s="3" t="n">
        <x:v>4096</x:v>
      </x:c>
      <x:c r="I151" s="3" t="n">
        <x:v>59888216</x:v>
      </x:c>
      <x:c r="J151" s="3" t="n">
        <x:v>34112360</x:v>
      </x:c>
      <x:c r="K151" s="3" t="n">
        <x:v>25775856</x:v>
      </x:c>
      <x:c r="L151" s="3" t="n">
        <x:v>11690</x:v>
      </x:c>
      <x:c r="M151" s="3" t="n">
        <x:v>16931840</x:v>
      </x:c>
      <x:c r="N151" s="3" t="n">
        <x:v>6077760</x:v>
      </x:c>
      <x:c r="O151" s="3" t="n">
        <x:v>10794048</x:v>
      </x:c>
      <x:c r="P151" s="3" t="n">
        <x:v>10794048</x:v>
      </x:c>
      <x:c r="Q151" s="3" t="n">
        <x:v>5965632</x:v>
      </x:c>
      <x:c r="R151" s="3" t="n">
        <x:v>8249408</x:v>
      </x:c>
      <x:c r="S151" s="3" t="n">
        <x:v>1075480</x:v>
      </x:c>
      <x:c r="T151" s="2" t="str">
        <x:v>4/3/4</x:v>
      </x:c>
      <x:c r="U151" s="2" t="str">
        <x:v>results/formal_composition/C_free_raw_sde_scan_N4096_B64_seed105.json</x:v>
      </x:c>
      <x:c r="V151" s="2" t="str">
        <x:v>197c8025f5b6a0e99b68351be98611615189b1d67c024fc05790a4aac6ae30a9</x:v>
      </x:c>
    </x:row>
    <x:row r="152" ht="22" customHeight="1">
      <x:c r="A152" s="2" t="str">
        <x:v>C_free_raw_sde_uniform_N4096_B64_seed101</x:v>
      </x:c>
      <x:c r="B152" s="2" t="str">
        <x:v>free_raw</x:v>
      </x:c>
      <x:c r="C152" s="2" t="str">
        <x:v>uniform</x:v>
      </x:c>
      <x:c r="D152" s="2" t="str">
        <x:v>sde</x:v>
      </x:c>
      <x:c r="E152" s="3" t="n">
        <x:v>101</x:v>
      </x:c>
      <x:c r="F152" s="3" t="n">
        <x:v>4096</x:v>
      </x:c>
      <x:c r="G152" s="3" t="n">
        <x:v>64</x:v>
      </x:c>
      <x:c r="H152" s="3" t="n">
        <x:v>4096</x:v>
      </x:c>
      <x:c r="I152" s="3" t="n">
        <x:v>157021968</x:v>
      </x:c>
      <x:c r="J152" s="3" t="n">
        <x:v>89441296</x:v>
      </x:c>
      <x:c r="K152" s="3" t="n">
        <x:v>67580672</x:v>
      </x:c>
      <x:c r="L152" s="3" t="n">
        <x:v>30636</x:v>
      </x:c>
      <x:c r="M152" s="3" t="n">
        <x:v>44403200</x:v>
      </x:c>
      <x:c r="N152" s="3" t="n">
        <x:v>15932800</x:v>
      </x:c>
      <x:c r="O152" s="3" t="n">
        <x:v>28307040</x:v>
      </x:c>
      <x:c r="P152" s="3" t="n">
        <x:v>28307040</x:v>
      </x:c>
      <x:c r="Q152" s="3" t="n">
        <x:v>15628160</x:v>
      </x:c>
      <x:c r="R152" s="3" t="n">
        <x:v>21625216</x:v>
      </x:c>
      <x:c r="S152" s="3" t="n">
        <x:v>2818512</x:v>
      </x:c>
      <x:c r="T152" s="2" t="str">
        <x:v>4/3/4</x:v>
      </x:c>
      <x:c r="U152" s="2" t="str">
        <x:v>results/formal_composition/C_free_raw_sde_uniform_N4096_B64_seed101.json</x:v>
      </x:c>
      <x:c r="V152" s="2" t="str">
        <x:v>2f117c608fc9485aab6ad0bf7c59e8f56378ee63c23822bf21e4c9222a2827af</x:v>
      </x:c>
    </x:row>
    <x:row r="153" ht="22" customHeight="1">
      <x:c r="A153" s="2" t="str">
        <x:v>C_free_raw_sde_uniform_N4096_B64_seed102</x:v>
      </x:c>
      <x:c r="B153" s="2" t="str">
        <x:v>free_raw</x:v>
      </x:c>
      <x:c r="C153" s="2" t="str">
        <x:v>uniform</x:v>
      </x:c>
      <x:c r="D153" s="2" t="str">
        <x:v>sde</x:v>
      </x:c>
      <x:c r="E153" s="3" t="n">
        <x:v>102</x:v>
      </x:c>
      <x:c r="F153" s="3" t="n">
        <x:v>4096</x:v>
      </x:c>
      <x:c r="G153" s="3" t="n">
        <x:v>64</x:v>
      </x:c>
      <x:c r="H153" s="3" t="n">
        <x:v>4096</x:v>
      </x:c>
      <x:c r="I153" s="3" t="n">
        <x:v>157093208</x:v>
      </x:c>
      <x:c r="J153" s="3" t="n">
        <x:v>89478672</x:v>
      </x:c>
      <x:c r="K153" s="3" t="n">
        <x:v>67614536</x:v>
      </x:c>
      <x:c r="L153" s="3" t="n">
        <x:v>30662</x:v>
      </x:c>
      <x:c r="M153" s="3" t="n">
        <x:v>44414080</x:v>
      </x:c>
      <x:c r="N153" s="3" t="n">
        <x:v>15945280</x:v>
      </x:c>
      <x:c r="O153" s="3" t="n">
        <x:v>28313976</x:v>
      </x:c>
      <x:c r="P153" s="3" t="n">
        <x:v>28313976</x:v>
      </x:c>
      <x:c r="Q153" s="3" t="n">
        <x:v>15646784</x:v>
      </x:c>
      <x:c r="R153" s="3" t="n">
        <x:v>21638208</x:v>
      </x:c>
      <x:c r="S153" s="3" t="n">
        <x:v>2820904</x:v>
      </x:c>
      <x:c r="T153" s="2" t="str">
        <x:v>4/3/4</x:v>
      </x:c>
      <x:c r="U153" s="2" t="str">
        <x:v>results/formal_composition/C_free_raw_sde_uniform_N4096_B64_seed102.json</x:v>
      </x:c>
      <x:c r="V153" s="2" t="str">
        <x:v>2616a69ed4d18e3c38161098e5ab5a096ffc4622ef3ce58f2394f306212cc1ab</x:v>
      </x:c>
    </x:row>
    <x:row r="154" ht="22" customHeight="1">
      <x:c r="A154" s="2" t="str">
        <x:v>C_free_raw_sde_uniform_N4096_B64_seed103</x:v>
      </x:c>
      <x:c r="B154" s="2" t="str">
        <x:v>free_raw</x:v>
      </x:c>
      <x:c r="C154" s="2" t="str">
        <x:v>uniform</x:v>
      </x:c>
      <x:c r="D154" s="2" t="str">
        <x:v>sde</x:v>
      </x:c>
      <x:c r="E154" s="3" t="n">
        <x:v>103</x:v>
      </x:c>
      <x:c r="F154" s="3" t="n">
        <x:v>4096</x:v>
      </x:c>
      <x:c r="G154" s="3" t="n">
        <x:v>64</x:v>
      </x:c>
      <x:c r="H154" s="3" t="n">
        <x:v>4096</x:v>
      </x:c>
      <x:c r="I154" s="3" t="n">
        <x:v>156410888</x:v>
      </x:c>
      <x:c r="J154" s="3" t="n">
        <x:v>89101156</x:v>
      </x:c>
      <x:c r="K154" s="3" t="n">
        <x:v>67309732</x:v>
      </x:c>
      <x:c r="L154" s="3" t="n">
        <x:v>30496</x:v>
      </x:c>
      <x:c r="M154" s="3" t="n">
        <x:v>44248000</x:v>
      </x:c>
      <x:c r="N154" s="3" t="n">
        <x:v>15857920</x:v>
      </x:c>
      <x:c r="O154" s="3" t="n">
        <x:v>28208100</x:v>
      </x:c>
      <x:c r="P154" s="3" t="n">
        <x:v>28208100</x:v>
      </x:c>
      <x:c r="Q154" s="3" t="n">
        <x:v>15547200</x:v>
      </x:c>
      <x:c r="R154" s="3" t="n">
        <x:v>21535936</x:v>
      </x:c>
      <x:c r="S154" s="3" t="n">
        <x:v>2805632</x:v>
      </x:c>
      <x:c r="T154" s="2" t="str">
        <x:v>4/3/4</x:v>
      </x:c>
      <x:c r="U154" s="2" t="str">
        <x:v>results/formal_composition/C_free_raw_sde_uniform_N4096_B64_seed103.json</x:v>
      </x:c>
      <x:c r="V154" s="2" t="str">
        <x:v>1818d2edfd3ed35e4ac6f0ff80d95590848811286712af3ec061fbd34251c4bf</x:v>
      </x:c>
    </x:row>
    <x:row r="155" ht="22" customHeight="1">
      <x:c r="A155" s="2" t="str">
        <x:v>C_free_raw_sde_uniform_N4096_B64_seed104</x:v>
      </x:c>
      <x:c r="B155" s="2" t="str">
        <x:v>free_raw</x:v>
      </x:c>
      <x:c r="C155" s="2" t="str">
        <x:v>uniform</x:v>
      </x:c>
      <x:c r="D155" s="2" t="str">
        <x:v>sde</x:v>
      </x:c>
      <x:c r="E155" s="3" t="n">
        <x:v>104</x:v>
      </x:c>
      <x:c r="F155" s="3" t="n">
        <x:v>4096</x:v>
      </x:c>
      <x:c r="G155" s="3" t="n">
        <x:v>64</x:v>
      </x:c>
      <x:c r="H155" s="3" t="n">
        <x:v>4096</x:v>
      </x:c>
      <x:c r="I155" s="3" t="n">
        <x:v>156696408</x:v>
      </x:c>
      <x:c r="J155" s="3" t="n">
        <x:v>89258576</x:v>
      </x:c>
      <x:c r="K155" s="3" t="n">
        <x:v>67437832</x:v>
      </x:c>
      <x:c r="L155" s="3" t="n">
        <x:v>30566</x:v>
      </x:c>
      <x:c r="M155" s="3" t="n">
        <x:v>44316800</x:v>
      </x:c>
      <x:c r="N155" s="3" t="n">
        <x:v>15895360</x:v>
      </x:c>
      <x:c r="O155" s="3" t="n">
        <x:v>28251960</x:v>
      </x:c>
      <x:c r="P155" s="3" t="n">
        <x:v>28251960</x:v>
      </x:c>
      <x:c r="Q155" s="3" t="n">
        <x:v>15589440</x:v>
      </x:c>
      <x:c r="R155" s="3" t="n">
        <x:v>21578816</x:v>
      </x:c>
      <x:c r="S155" s="3" t="n">
        <x:v>2812072</x:v>
      </x:c>
      <x:c r="T155" s="2" t="str">
        <x:v>4/3/4</x:v>
      </x:c>
      <x:c r="U155" s="2" t="str">
        <x:v>results/formal_composition/C_free_raw_sde_uniform_N4096_B64_seed104.json</x:v>
      </x:c>
      <x:c r="V155" s="2" t="str">
        <x:v>b3536de5df065ee1d5379d491e0938850c77db62793b48099f5ca4e49d1a3846</x:v>
      </x:c>
    </x:row>
    <x:row r="156" ht="22" customHeight="1">
      <x:c r="A156" s="2" t="str">
        <x:v>C_free_raw_sde_uniform_N4096_B64_seed105</x:v>
      </x:c>
      <x:c r="B156" s="2" t="str">
        <x:v>free_raw</x:v>
      </x:c>
      <x:c r="C156" s="2" t="str">
        <x:v>uniform</x:v>
      </x:c>
      <x:c r="D156" s="2" t="str">
        <x:v>sde</x:v>
      </x:c>
      <x:c r="E156" s="3" t="n">
        <x:v>105</x:v>
      </x:c>
      <x:c r="F156" s="3" t="n">
        <x:v>4096</x:v>
      </x:c>
      <x:c r="G156" s="3" t="n">
        <x:v>64</x:v>
      </x:c>
      <x:c r="H156" s="3" t="n">
        <x:v>4096</x:v>
      </x:c>
      <x:c r="I156" s="3" t="n">
        <x:v>156678512</x:v>
      </x:c>
      <x:c r="J156" s="3" t="n">
        <x:v>89252392</x:v>
      </x:c>
      <x:c r="K156" s="3" t="n">
        <x:v>67426120</x:v>
      </x:c>
      <x:c r="L156" s="3" t="n">
        <x:v>30552</x:v>
      </x:c>
      <x:c r="M156" s="3" t="n">
        <x:v>44320640</x:v>
      </x:c>
      <x:c r="N156" s="3" t="n">
        <x:v>15887040</x:v>
      </x:c>
      <x:c r="O156" s="3" t="n">
        <x:v>28254408</x:v>
      </x:c>
      <x:c r="P156" s="3" t="n">
        <x:v>28254408</x:v>
      </x:c>
      <x:c r="Q156" s="3" t="n">
        <x:v>15577472</x:v>
      </x:c>
      <x:c r="R156" s="3" t="n">
        <x:v>21573760</x:v>
      </x:c>
      <x:c r="S156" s="3" t="n">
        <x:v>2810784</x:v>
      </x:c>
      <x:c r="T156" s="2" t="str">
        <x:v>4/3/4</x:v>
      </x:c>
      <x:c r="U156" s="2" t="str">
        <x:v>results/formal_composition/C_free_raw_sde_uniform_N4096_B64_seed105.json</x:v>
      </x:c>
      <x:c r="V156" s="2" t="str">
        <x:v>c8c5bdba9c72c11f0b91d4e29dc076effe4c049a447bcbcf4ff475336238dc2b</x:v>
      </x:c>
    </x:row>
    <x:row r="157" ht="22" customHeight="1">
      <x:c r="A157" s="2" t="str">
        <x:v>C_free_raw_sde_zipf09_N4096_B64_seed101</x:v>
      </x:c>
      <x:c r="B157" s="2" t="str">
        <x:v>free_raw</x:v>
      </x:c>
      <x:c r="C157" s="2" t="str">
        <x:v>zipf09</x:v>
      </x:c>
      <x:c r="D157" s="2" t="str">
        <x:v>sde</x:v>
      </x:c>
      <x:c r="E157" s="3" t="n">
        <x:v>101</x:v>
      </x:c>
      <x:c r="F157" s="3" t="n">
        <x:v>4096</x:v>
      </x:c>
      <x:c r="G157" s="3" t="n">
        <x:v>64</x:v>
      </x:c>
      <x:c r="H157" s="3" t="n">
        <x:v>4096</x:v>
      </x:c>
      <x:c r="I157" s="3" t="n">
        <x:v>152747056</x:v>
      </x:c>
      <x:c r="J157" s="3" t="n">
        <x:v>87010712</x:v>
      </x:c>
      <x:c r="K157" s="3" t="n">
        <x:v>65736344</x:v>
      </x:c>
      <x:c r="L157" s="3" t="n">
        <x:v>29792</x:v>
      </x:c>
      <x:c r="M157" s="3" t="n">
        <x:v>43203200</x:v>
      </x:c>
      <x:c r="N157" s="3" t="n">
        <x:v>15491840</x:v>
      </x:c>
      <x:c r="O157" s="3" t="n">
        <x:v>27542040</x:v>
      </x:c>
      <x:c r="P157" s="3" t="n">
        <x:v>27542040</x:v>
      </x:c>
      <x:c r="Q157" s="3" t="n">
        <x:v>15192960</x:v>
      </x:c>
      <x:c r="R157" s="3" t="n">
        <x:v>21034112</x:v>
      </x:c>
      <x:c r="S157" s="3" t="n">
        <x:v>2740864</x:v>
      </x:c>
      <x:c r="T157" s="2" t="str">
        <x:v>4/3/4</x:v>
      </x:c>
      <x:c r="U157" s="2" t="str">
        <x:v>results/formal_composition/C_free_raw_sde_zipf09_N4096_B64_seed101.json</x:v>
      </x:c>
      <x:c r="V157" s="2" t="str">
        <x:v>f64e2d3ad373b0a2466fd794406ff9286363320dced04205aa238f800e8ad82d</x:v>
      </x:c>
    </x:row>
    <x:row r="158" ht="22" customHeight="1">
      <x:c r="A158" s="2" t="str">
        <x:v>C_free_raw_sde_zipf09_N4096_B64_seed102</x:v>
      </x:c>
      <x:c r="B158" s="2" t="str">
        <x:v>free_raw</x:v>
      </x:c>
      <x:c r="C158" s="2" t="str">
        <x:v>zipf09</x:v>
      </x:c>
      <x:c r="D158" s="2" t="str">
        <x:v>sde</x:v>
      </x:c>
      <x:c r="E158" s="3" t="n">
        <x:v>102</x:v>
      </x:c>
      <x:c r="F158" s="3" t="n">
        <x:v>4096</x:v>
      </x:c>
      <x:c r="G158" s="3" t="n">
        <x:v>64</x:v>
      </x:c>
      <x:c r="H158" s="3" t="n">
        <x:v>4096</x:v>
      </x:c>
      <x:c r="I158" s="3" t="n">
        <x:v>153374120</x:v>
      </x:c>
      <x:c r="J158" s="3" t="n">
        <x:v>87355904</x:v>
      </x:c>
      <x:c r="K158" s="3" t="n">
        <x:v>66018216</x:v>
      </x:c>
      <x:c r="L158" s="3" t="n">
        <x:v>29954</x:v>
      </x:c>
      <x:c r="M158" s="3" t="n">
        <x:v>43349120</x:v>
      </x:c>
      <x:c r="N158" s="3" t="n">
        <x:v>15575040</x:v>
      </x:c>
      <x:c r="O158" s="3" t="n">
        <x:v>27635064</x:v>
      </x:c>
      <x:c r="P158" s="3" t="n">
        <x:v>27635064</x:v>
      </x:c>
      <x:c r="Q158" s="3" t="n">
        <x:v>15293376</x:v>
      </x:c>
      <x:c r="R158" s="3" t="n">
        <x:v>21130688</x:v>
      </x:c>
      <x:c r="S158" s="3" t="n">
        <x:v>2755768</x:v>
      </x:c>
      <x:c r="T158" s="2" t="str">
        <x:v>4/3/4</x:v>
      </x:c>
      <x:c r="U158" s="2" t="str">
        <x:v>results/formal_composition/C_free_raw_sde_zipf09_N4096_B64_seed102.json</x:v>
      </x:c>
      <x:c r="V158" s="2" t="str">
        <x:v>1f6757c5c5d3b57130a142410825f7e43a32235064eaba990621f8518b783f76</x:v>
      </x:c>
    </x:row>
    <x:row r="159" ht="22" customHeight="1">
      <x:c r="A159" s="2" t="str">
        <x:v>C_free_raw_sde_zipf09_N4096_B64_seed103</x:v>
      </x:c>
      <x:c r="B159" s="2" t="str">
        <x:v>free_raw</x:v>
      </x:c>
      <x:c r="C159" s="2" t="str">
        <x:v>zipf09</x:v>
      </x:c>
      <x:c r="D159" s="2" t="str">
        <x:v>sde</x:v>
      </x:c>
      <x:c r="E159" s="3" t="n">
        <x:v>103</x:v>
      </x:c>
      <x:c r="F159" s="3" t="n">
        <x:v>4096</x:v>
      </x:c>
      <x:c r="G159" s="3" t="n">
        <x:v>64</x:v>
      </x:c>
      <x:c r="H159" s="3" t="n">
        <x:v>4096</x:v>
      </x:c>
      <x:c r="I159" s="3" t="n">
        <x:v>153052840</x:v>
      </x:c>
      <x:c r="J159" s="3" t="n">
        <x:v>87191184</x:v>
      </x:c>
      <x:c r="K159" s="3" t="n">
        <x:v>65861656</x:v>
      </x:c>
      <x:c r="L159" s="3" t="n">
        <x:v>29834</x:v>
      </x:c>
      <x:c r="M159" s="3" t="n">
        <x:v>43304320</x:v>
      </x:c>
      <x:c r="N159" s="3" t="n">
        <x:v>15512640</x:v>
      </x:c>
      <x:c r="O159" s="3" t="n">
        <x:v>27606504</x:v>
      </x:c>
      <x:c r="P159" s="3" t="n">
        <x:v>27606504</x:v>
      </x:c>
      <x:c r="Q159" s="3" t="n">
        <x:v>15206336</x:v>
      </x:c>
      <x:c r="R159" s="3" t="n">
        <x:v>21071808</x:v>
      </x:c>
      <x:c r="S159" s="3" t="n">
        <x:v>2744728</x:v>
      </x:c>
      <x:c r="T159" s="2" t="str">
        <x:v>4/3/4</x:v>
      </x:c>
      <x:c r="U159" s="2" t="str">
        <x:v>results/formal_composition/C_free_raw_sde_zipf09_N4096_B64_seed103.json</x:v>
      </x:c>
      <x:c r="V159" s="2" t="str">
        <x:v>06fd6336c9ca2b0e2cfa453967ead3402e404606fda3d05077553258a513e097</x:v>
      </x:c>
    </x:row>
    <x:row r="160" ht="22" customHeight="1">
      <x:c r="A160" s="2" t="str">
        <x:v>C_free_raw_sde_zipf09_N4096_B64_seed104</x:v>
      </x:c>
      <x:c r="B160" s="2" t="str">
        <x:v>free_raw</x:v>
      </x:c>
      <x:c r="C160" s="2" t="str">
        <x:v>zipf09</x:v>
      </x:c>
      <x:c r="D160" s="2" t="str">
        <x:v>sde</x:v>
      </x:c>
      <x:c r="E160" s="3" t="n">
        <x:v>104</x:v>
      </x:c>
      <x:c r="F160" s="3" t="n">
        <x:v>4096</x:v>
      </x:c>
      <x:c r="G160" s="3" t="n">
        <x:v>64</x:v>
      </x:c>
      <x:c r="H160" s="3" t="n">
        <x:v>4096</x:v>
      </x:c>
      <x:c r="I160" s="3" t="n">
        <x:v>152885864</x:v>
      </x:c>
      <x:c r="J160" s="3" t="n">
        <x:v>87090744</x:v>
      </x:c>
      <x:c r="K160" s="3" t="n">
        <x:v>65795120</x:v>
      </x:c>
      <x:c r="L160" s="3" t="n">
        <x:v>29814</x:v>
      </x:c>
      <x:c r="M160" s="3" t="n">
        <x:v>43246080</x:v>
      </x:c>
      <x:c r="N160" s="3" t="n">
        <x:v>15504320</x:v>
      </x:c>
      <x:c r="O160" s="3" t="n">
        <x:v>27569376</x:v>
      </x:c>
      <x:c r="P160" s="3" t="n">
        <x:v>27569376</x:v>
      </x:c>
      <x:c r="Q160" s="3" t="n">
        <x:v>15201984</x:v>
      </x:c>
      <x:c r="R160" s="3" t="n">
        <x:v>21051840</x:v>
      </x:c>
      <x:c r="S160" s="3" t="n">
        <x:v>2742888</x:v>
      </x:c>
      <x:c r="T160" s="2" t="str">
        <x:v>4/3/4</x:v>
      </x:c>
      <x:c r="U160" s="2" t="str">
        <x:v>results/formal_composition/C_free_raw_sde_zipf09_N4096_B64_seed104.json</x:v>
      </x:c>
      <x:c r="V160" s="2" t="str">
        <x:v>b4d91fdb7930ceb1b7e657c0d9b00c6c52fee7f1e8e7ba0038db1aa07f97ead6</x:v>
      </x:c>
    </x:row>
    <x:row r="161" ht="22" customHeight="1">
      <x:c r="A161" s="2" t="str">
        <x:v>C_free_raw_sde_zipf09_N4096_B64_seed105</x:v>
      </x:c>
      <x:c r="B161" s="2" t="str">
        <x:v>free_raw</x:v>
      </x:c>
      <x:c r="C161" s="2" t="str">
        <x:v>zipf09</x:v>
      </x:c>
      <x:c r="D161" s="2" t="str">
        <x:v>sde</x:v>
      </x:c>
      <x:c r="E161" s="3" t="n">
        <x:v>105</x:v>
      </x:c>
      <x:c r="F161" s="3" t="n">
        <x:v>4096</x:v>
      </x:c>
      <x:c r="G161" s="3" t="n">
        <x:v>64</x:v>
      </x:c>
      <x:c r="H161" s="3" t="n">
        <x:v>4096</x:v>
      </x:c>
      <x:c r="I161" s="3" t="n">
        <x:v>153553608</x:v>
      </x:c>
      <x:c r="J161" s="3" t="n">
        <x:v>87476936</x:v>
      </x:c>
      <x:c r="K161" s="3" t="n">
        <x:v>66076672</x:v>
      </x:c>
      <x:c r="L161" s="3" t="n">
        <x:v>29926</x:v>
      </x:c>
      <x:c r="M161" s="3" t="n">
        <x:v>43449600</x:v>
      </x:c>
      <x:c r="N161" s="3" t="n">
        <x:v>15562560</x:v>
      </x:c>
      <x:c r="O161" s="3" t="n">
        <x:v>27699120</x:v>
      </x:c>
      <x:c r="P161" s="3" t="n">
        <x:v>27699120</x:v>
      </x:c>
      <x:c r="Q161" s="3" t="n">
        <x:v>15250880</x:v>
      </x:c>
      <x:c r="R161" s="3" t="n">
        <x:v>21139136</x:v>
      </x:c>
      <x:c r="S161" s="3" t="n">
        <x:v>2753192</x:v>
      </x:c>
      <x:c r="T161" s="2" t="str">
        <x:v>4/3/4</x:v>
      </x:c>
      <x:c r="U161" s="2" t="str">
        <x:v>results/formal_composition/C_free_raw_sde_zipf09_N4096_B64_seed105.json</x:v>
      </x:c>
      <x:c r="V161" s="2" t="str">
        <x:v>7c285962ec8412cad4e76ef14f533dbc415d7afcf5a808425be8f8f85b37cb2b</x:v>
      </x:c>
    </x:row>
    <x:row r="162" ht="22" customHeight="1">
      <x:c r="A162" s="2" t="str">
        <x:v>C2_rho_deferred_hot90_N4096_B64_seed101</x:v>
      </x:c>
      <x:c r="B162" s="2" t="str">
        <x:v>rho</x:v>
      </x:c>
      <x:c r="C162" s="2" t="str">
        <x:v>hot90</x:v>
      </x:c>
      <x:c r="D162" s="2" t="str">
        <x:v>deferred</x:v>
      </x:c>
      <x:c r="E162" s="3" t="n">
        <x:v>101</x:v>
      </x:c>
      <x:c r="F162" s="3" t="n">
        <x:v>4096</x:v>
      </x:c>
      <x:c r="G162" s="3" t="n">
        <x:v>64</x:v>
      </x:c>
      <x:c r="H162" s="3" t="n">
        <x:v>4096</x:v>
      </x:c>
      <x:c r="I162" s="3" t="n">
        <x:v>32444512</x:v>
      </x:c>
      <x:c r="J162" s="3" t="n">
        <x:v>16394344</x:v>
      </x:c>
      <x:c r="K162" s="3" t="n">
        <x:v>16050168</x:v>
      </x:c>
      <x:c r="L162" s="3" t="n">
        <x:v>6100</x:v>
      </x:c>
      <x:c r="M162" s="3" t="n">
        <x:v>7619200</x:v>
      </x:c>
      <x:c r="N162" s="3" t="n">
        <x:v>4690560</x:v>
      </x:c>
      <x:c r="O162" s="3" t="n">
        <x:v>6483480</x:v>
      </x:c>
      <x:c r="P162" s="3" t="n">
        <x:v>6483480</x:v>
      </x:c>
      <x:c r="Q162" s="3" t="n">
        <x:v>2072064</x:v>
      </x:c>
      <x:c r="R162" s="3" t="n">
        <x:v>4534528</x:v>
      </x:c>
      <x:c r="S162" s="3" t="n">
        <x:v>561200</x:v>
      </x:c>
      <x:c r="T162" s="2" t="str">
        <x:v>4/3/4</x:v>
      </x:c>
      <x:c r="U162" s="2" t="str">
        <x:v>results/formal_rho_fixed/C2_rho_deferred_hot90_N4096_B64_seed101.json</x:v>
      </x:c>
      <x:c r="V162" s="2" t="str">
        <x:v>50f5e470ae5d9a608632eddac6c01e388dffbdc563b6374a867c47a8026adac7</x:v>
      </x:c>
    </x:row>
    <x:row r="163" ht="22" customHeight="1">
      <x:c r="A163" s="2" t="str">
        <x:v>C2_rho_deferred_hot90_N4096_B64_seed102</x:v>
      </x:c>
      <x:c r="B163" s="2" t="str">
        <x:v>rho</x:v>
      </x:c>
      <x:c r="C163" s="2" t="str">
        <x:v>hot90</x:v>
      </x:c>
      <x:c r="D163" s="2" t="str">
        <x:v>deferred</x:v>
      </x:c>
      <x:c r="E163" s="3" t="n">
        <x:v>102</x:v>
      </x:c>
      <x:c r="F163" s="3" t="n">
        <x:v>4096</x:v>
      </x:c>
      <x:c r="G163" s="3" t="n">
        <x:v>64</x:v>
      </x:c>
      <x:c r="H163" s="3" t="n">
        <x:v>4096</x:v>
      </x:c>
      <x:c r="I163" s="3" t="n">
        <x:v>32582816</x:v>
      </x:c>
      <x:c r="J163" s="3" t="n">
        <x:v>16464228</x:v>
      </x:c>
      <x:c r="K163" s="3" t="n">
        <x:v>16118588</x:v>
      </x:c>
      <x:c r="L163" s="3" t="n">
        <x:v>6126</x:v>
      </x:c>
      <x:c r="M163" s="3" t="n">
        <x:v>7651680</x:v>
      </x:c>
      <x:c r="N163" s="3" t="n">
        <x:v>4710560</x:v>
      </x:c>
      <x:c r="O163" s="3" t="n">
        <x:v>6511116</x:v>
      </x:c>
      <x:c r="P163" s="3" t="n">
        <x:v>6511116</x:v>
      </x:c>
      <x:c r="Q163" s="3" t="n">
        <x:v>2080896</x:v>
      </x:c>
      <x:c r="R163" s="3" t="n">
        <x:v>4553856</x:v>
      </x:c>
      <x:c r="S163" s="3" t="n">
        <x:v>563592</x:v>
      </x:c>
      <x:c r="T163" s="2" t="str">
        <x:v>4/3/4</x:v>
      </x:c>
      <x:c r="U163" s="2" t="str">
        <x:v>results/formal_rho_fixed/C2_rho_deferred_hot90_N4096_B64_seed102.json</x:v>
      </x:c>
      <x:c r="V163" s="2" t="str">
        <x:v>5d631f23c5786a236489d343af19e63c967240ec2e9deb3fdf445ec8e4f7dcf9</x:v>
      </x:c>
    </x:row>
    <x:row r="164" ht="22" customHeight="1">
      <x:c r="A164" s="2" t="str">
        <x:v>C2_rho_deferred_hot90_N4096_B64_seed103</x:v>
      </x:c>
      <x:c r="B164" s="2" t="str">
        <x:v>rho</x:v>
      </x:c>
      <x:c r="C164" s="2" t="str">
        <x:v>hot90</x:v>
      </x:c>
      <x:c r="D164" s="2" t="str">
        <x:v>deferred</x:v>
      </x:c>
      <x:c r="E164" s="3" t="n">
        <x:v>103</x:v>
      </x:c>
      <x:c r="F164" s="3" t="n">
        <x:v>4096</x:v>
      </x:c>
      <x:c r="G164" s="3" t="n">
        <x:v>64</x:v>
      </x:c>
      <x:c r="H164" s="3" t="n">
        <x:v>4096</x:v>
      </x:c>
      <x:c r="I164" s="3" t="n">
        <x:v>32460752</x:v>
      </x:c>
      <x:c r="J164" s="3" t="n">
        <x:v>16401996</x:v>
      </x:c>
      <x:c r="K164" s="3" t="n">
        <x:v>16058756</x:v>
      </x:c>
      <x:c r="L164" s="3" t="n">
        <x:v>6102</x:v>
      </x:c>
      <x:c r="M164" s="3" t="n">
        <x:v>7623360</x:v>
      </x:c>
      <x:c r="N164" s="3" t="n">
        <x:v>4694720</x:v>
      </x:c>
      <x:c r="O164" s="3" t="n">
        <x:v>6486132</x:v>
      </x:c>
      <x:c r="P164" s="3" t="n">
        <x:v>6486132</x:v>
      </x:c>
      <x:c r="Q164" s="3" t="n">
        <x:v>2072832</x:v>
      </x:c>
      <x:c r="R164" s="3" t="n">
        <x:v>4536192</x:v>
      </x:c>
      <x:c r="S164" s="3" t="n">
        <x:v>561384</x:v>
      </x:c>
      <x:c r="T164" s="2" t="str">
        <x:v>4/3/4</x:v>
      </x:c>
      <x:c r="U164" s="2" t="str">
        <x:v>results/formal_rho_fixed/C2_rho_deferred_hot90_N4096_B64_seed103.json</x:v>
      </x:c>
      <x:c r="V164" s="2" t="str">
        <x:v>5b29638cb5c80e2d7501035c5c77b6c7a27933d9dd4caa616eb2bf9df9329449</x:v>
      </x:c>
    </x:row>
    <x:row r="165" ht="22" customHeight="1">
      <x:c r="A165" s="2" t="str">
        <x:v>C2_rho_deferred_hot90_N4096_B64_seed104</x:v>
      </x:c>
      <x:c r="B165" s="2" t="str">
        <x:v>rho</x:v>
      </x:c>
      <x:c r="C165" s="2" t="str">
        <x:v>hot90</x:v>
      </x:c>
      <x:c r="D165" s="2" t="str">
        <x:v>deferred</x:v>
      </x:c>
      <x:c r="E165" s="3" t="n">
        <x:v>104</x:v>
      </x:c>
      <x:c r="F165" s="3" t="n">
        <x:v>4096</x:v>
      </x:c>
      <x:c r="G165" s="3" t="n">
        <x:v>64</x:v>
      </x:c>
      <x:c r="H165" s="3" t="n">
        <x:v>4096</x:v>
      </x:c>
      <x:c r="I165" s="3" t="n">
        <x:v>32834976</x:v>
      </x:c>
      <x:c r="J165" s="3" t="n">
        <x:v>16590904</x:v>
      </x:c>
      <x:c r="K165" s="3" t="n">
        <x:v>16244072</x:v>
      </x:c>
      <x:c r="L165" s="3" t="n">
        <x:v>6172</x:v>
      </x:c>
      <x:c r="M165" s="3" t="n">
        <x:v>7711360</x:v>
      </x:c>
      <x:c r="N165" s="3" t="n">
        <x:v>4749440</x:v>
      </x:c>
      <x:c r="O165" s="3" t="n">
        <x:v>6560712</x:v>
      </x:c>
      <x:c r="P165" s="3" t="n">
        <x:v>6560712</x:v>
      </x:c>
      <x:c r="Q165" s="3" t="n">
        <x:v>2096640</x:v>
      </x:c>
      <x:c r="R165" s="3" t="n">
        <x:v>4588288</x:v>
      </x:c>
      <x:c r="S165" s="3" t="n">
        <x:v>567824</x:v>
      </x:c>
      <x:c r="T165" s="2" t="str">
        <x:v>4/3/4</x:v>
      </x:c>
      <x:c r="U165" s="2" t="str">
        <x:v>results/formal_rho_fixed/C2_rho_deferred_hot90_N4096_B64_seed104.json</x:v>
      </x:c>
      <x:c r="V165" s="2" t="str">
        <x:v>47a256cadc109473fc7314475fc548a5b1d2c086457274845532744ffa475cde</x:v>
      </x:c>
    </x:row>
    <x:row r="166" ht="22" customHeight="1">
      <x:c r="A166" s="2" t="str">
        <x:v>C2_rho_deferred_hot90_N4096_B64_seed105</x:v>
      </x:c>
      <x:c r="B166" s="2" t="str">
        <x:v>rho</x:v>
      </x:c>
      <x:c r="C166" s="2" t="str">
        <x:v>hot90</x:v>
      </x:c>
      <x:c r="D166" s="2" t="str">
        <x:v>deferred</x:v>
      </x:c>
      <x:c r="E166" s="3" t="n">
        <x:v>105</x:v>
      </x:c>
      <x:c r="F166" s="3" t="n">
        <x:v>4096</x:v>
      </x:c>
      <x:c r="G166" s="3" t="n">
        <x:v>64</x:v>
      </x:c>
      <x:c r="H166" s="3" t="n">
        <x:v>4096</x:v>
      </x:c>
      <x:c r="I166" s="3" t="n">
        <x:v>32834976</x:v>
      </x:c>
      <x:c r="J166" s="3" t="n">
        <x:v>16590904</x:v>
      </x:c>
      <x:c r="K166" s="3" t="n">
        <x:v>16244072</x:v>
      </x:c>
      <x:c r="L166" s="3" t="n">
        <x:v>6172</x:v>
      </x:c>
      <x:c r="M166" s="3" t="n">
        <x:v>7711360</x:v>
      </x:c>
      <x:c r="N166" s="3" t="n">
        <x:v>4749440</x:v>
      </x:c>
      <x:c r="O166" s="3" t="n">
        <x:v>6560712</x:v>
      </x:c>
      <x:c r="P166" s="3" t="n">
        <x:v>6560712</x:v>
      </x:c>
      <x:c r="Q166" s="3" t="n">
        <x:v>2096640</x:v>
      </x:c>
      <x:c r="R166" s="3" t="n">
        <x:v>4588288</x:v>
      </x:c>
      <x:c r="S166" s="3" t="n">
        <x:v>567824</x:v>
      </x:c>
      <x:c r="T166" s="2" t="str">
        <x:v>4/3/4</x:v>
      </x:c>
      <x:c r="U166" s="2" t="str">
        <x:v>results/formal_rho_fixed/C2_rho_deferred_hot90_N4096_B64_seed105.json</x:v>
      </x:c>
      <x:c r="V166" s="2" t="str">
        <x:v>3c59824c4757d7e6827b7edd04716e7b94b0779ae92d30b44afef7d476f6b8d2</x:v>
      </x:c>
    </x:row>
    <x:row r="167" ht="22" customHeight="1">
      <x:c r="A167" s="2" t="str">
        <x:v>C2_rho_deferred_scan_N4096_B64_seed101</x:v>
      </x:c>
      <x:c r="B167" s="2" t="str">
        <x:v>rho</x:v>
      </x:c>
      <x:c r="C167" s="2" t="str">
        <x:v>scan</x:v>
      </x:c>
      <x:c r="D167" s="2" t="str">
        <x:v>deferred</x:v>
      </x:c>
      <x:c r="E167" s="3" t="n">
        <x:v>101</x:v>
      </x:c>
      <x:c r="F167" s="3" t="n">
        <x:v>4096</x:v>
      </x:c>
      <x:c r="G167" s="3" t="n">
        <x:v>64</x:v>
      </x:c>
      <x:c r="H167" s="3" t="n">
        <x:v>4096</x:v>
      </x:c>
      <x:c r="I167" s="3" t="n">
        <x:v>188825648</x:v>
      </x:c>
      <x:c r="J167" s="3" t="n">
        <x:v>95412404</x:v>
      </x:c>
      <x:c r="K167" s="3" t="n">
        <x:v>93413244</x:v>
      </x:c>
      <x:c r="L167" s="3" t="n">
        <x:v>35498</x:v>
      </x:c>
      <x:c r="M167" s="3" t="n">
        <x:v>44344640</x:v>
      </x:c>
      <x:c r="N167" s="3" t="n">
        <x:v>27305280</x:v>
      </x:c>
      <x:c r="O167" s="3" t="n">
        <x:v>37731468</x:v>
      </x:c>
      <x:c r="P167" s="3" t="n">
        <x:v>37731468</x:v>
      </x:c>
      <x:c r="Q167" s="3" t="n">
        <x:v>12058368</x:v>
      </x:c>
      <x:c r="R167" s="3" t="n">
        <x:v>26388608</x:v>
      </x:c>
      <x:c r="S167" s="3" t="n">
        <x:v>3265816</x:v>
      </x:c>
      <x:c r="T167" s="2" t="str">
        <x:v>4/3/4</x:v>
      </x:c>
      <x:c r="U167" s="2" t="str">
        <x:v>results/formal_rho_fixed/C2_rho_deferred_scan_N4096_B64_seed101.json</x:v>
      </x:c>
      <x:c r="V167" s="2" t="str">
        <x:v>a2a19ddfdec7a5e17d77c2b6b8dd683f34a1e1697418204ed490b7cdc8c274c9</x:v>
      </x:c>
    </x:row>
    <x:row r="168" ht="22" customHeight="1">
      <x:c r="A168" s="2" t="str">
        <x:v>C2_rho_deferred_scan_N4096_B64_seed102</x:v>
      </x:c>
      <x:c r="B168" s="2" t="str">
        <x:v>rho</x:v>
      </x:c>
      <x:c r="C168" s="2" t="str">
        <x:v>scan</x:v>
      </x:c>
      <x:c r="D168" s="2" t="str">
        <x:v>deferred</x:v>
      </x:c>
      <x:c r="E168" s="3" t="n">
        <x:v>102</x:v>
      </x:c>
      <x:c r="F168" s="3" t="n">
        <x:v>4096</x:v>
      </x:c>
      <x:c r="G168" s="3" t="n">
        <x:v>64</x:v>
      </x:c>
      <x:c r="H168" s="3" t="n">
        <x:v>4096</x:v>
      </x:c>
      <x:c r="I168" s="3" t="n">
        <x:v>188825648</x:v>
      </x:c>
      <x:c r="J168" s="3" t="n">
        <x:v>95412404</x:v>
      </x:c>
      <x:c r="K168" s="3" t="n">
        <x:v>93413244</x:v>
      </x:c>
      <x:c r="L168" s="3" t="n">
        <x:v>35498</x:v>
      </x:c>
      <x:c r="M168" s="3" t="n">
        <x:v>44344640</x:v>
      </x:c>
      <x:c r="N168" s="3" t="n">
        <x:v>27305280</x:v>
      </x:c>
      <x:c r="O168" s="3" t="n">
        <x:v>37731468</x:v>
      </x:c>
      <x:c r="P168" s="3" t="n">
        <x:v>37731468</x:v>
      </x:c>
      <x:c r="Q168" s="3" t="n">
        <x:v>12058368</x:v>
      </x:c>
      <x:c r="R168" s="3" t="n">
        <x:v>26388608</x:v>
      </x:c>
      <x:c r="S168" s="3" t="n">
        <x:v>3265816</x:v>
      </x:c>
      <x:c r="T168" s="2" t="str">
        <x:v>4/3/4</x:v>
      </x:c>
      <x:c r="U168" s="2" t="str">
        <x:v>results/formal_rho_fixed/C2_rho_deferred_scan_N4096_B64_seed102.json</x:v>
      </x:c>
      <x:c r="V168" s="2" t="str">
        <x:v>b8163a50c5cea47563754165790c1272cf06258fe356572e4eb7861ea747dbac</x:v>
      </x:c>
    </x:row>
    <x:row r="169" ht="22" customHeight="1">
      <x:c r="A169" s="2" t="str">
        <x:v>C2_rho_deferred_scan_N4096_B64_seed103</x:v>
      </x:c>
      <x:c r="B169" s="2" t="str">
        <x:v>rho</x:v>
      </x:c>
      <x:c r="C169" s="2" t="str">
        <x:v>scan</x:v>
      </x:c>
      <x:c r="D169" s="2" t="str">
        <x:v>deferred</x:v>
      </x:c>
      <x:c r="E169" s="3" t="n">
        <x:v>103</x:v>
      </x:c>
      <x:c r="F169" s="3" t="n">
        <x:v>4096</x:v>
      </x:c>
      <x:c r="G169" s="3" t="n">
        <x:v>64</x:v>
      </x:c>
      <x:c r="H169" s="3" t="n">
        <x:v>4096</x:v>
      </x:c>
      <x:c r="I169" s="3" t="n">
        <x:v>188825648</x:v>
      </x:c>
      <x:c r="J169" s="3" t="n">
        <x:v>95412404</x:v>
      </x:c>
      <x:c r="K169" s="3" t="n">
        <x:v>93413244</x:v>
      </x:c>
      <x:c r="L169" s="3" t="n">
        <x:v>35498</x:v>
      </x:c>
      <x:c r="M169" s="3" t="n">
        <x:v>44344640</x:v>
      </x:c>
      <x:c r="N169" s="3" t="n">
        <x:v>27305280</x:v>
      </x:c>
      <x:c r="O169" s="3" t="n">
        <x:v>37731468</x:v>
      </x:c>
      <x:c r="P169" s="3" t="n">
        <x:v>37731468</x:v>
      </x:c>
      <x:c r="Q169" s="3" t="n">
        <x:v>12058368</x:v>
      </x:c>
      <x:c r="R169" s="3" t="n">
        <x:v>26388608</x:v>
      </x:c>
      <x:c r="S169" s="3" t="n">
        <x:v>3265816</x:v>
      </x:c>
      <x:c r="T169" s="2" t="str">
        <x:v>4/3/4</x:v>
      </x:c>
      <x:c r="U169" s="2" t="str">
        <x:v>results/formal_rho_fixed/C2_rho_deferred_scan_N4096_B64_seed103.json</x:v>
      </x:c>
      <x:c r="V169" s="2" t="str">
        <x:v>b88b3ddcbcacd5c0165ba182ab81e12c9c50353b85952aadee6a0a336bef4937</x:v>
      </x:c>
    </x:row>
    <x:row r="170" ht="22" customHeight="1">
      <x:c r="A170" s="2" t="str">
        <x:v>C2_rho_deferred_scan_N4096_B64_seed104</x:v>
      </x:c>
      <x:c r="B170" s="2" t="str">
        <x:v>rho</x:v>
      </x:c>
      <x:c r="C170" s="2" t="str">
        <x:v>scan</x:v>
      </x:c>
      <x:c r="D170" s="2" t="str">
        <x:v>deferred</x:v>
      </x:c>
      <x:c r="E170" s="3" t="n">
        <x:v>104</x:v>
      </x:c>
      <x:c r="F170" s="3" t="n">
        <x:v>4096</x:v>
      </x:c>
      <x:c r="G170" s="3" t="n">
        <x:v>64</x:v>
      </x:c>
      <x:c r="H170" s="3" t="n">
        <x:v>4096</x:v>
      </x:c>
      <x:c r="I170" s="3" t="n">
        <x:v>188825648</x:v>
      </x:c>
      <x:c r="J170" s="3" t="n">
        <x:v>95412404</x:v>
      </x:c>
      <x:c r="K170" s="3" t="n">
        <x:v>93413244</x:v>
      </x:c>
      <x:c r="L170" s="3" t="n">
        <x:v>35498</x:v>
      </x:c>
      <x:c r="M170" s="3" t="n">
        <x:v>44344640</x:v>
      </x:c>
      <x:c r="N170" s="3" t="n">
        <x:v>27305280</x:v>
      </x:c>
      <x:c r="O170" s="3" t="n">
        <x:v>37731468</x:v>
      </x:c>
      <x:c r="P170" s="3" t="n">
        <x:v>37731468</x:v>
      </x:c>
      <x:c r="Q170" s="3" t="n">
        <x:v>12058368</x:v>
      </x:c>
      <x:c r="R170" s="3" t="n">
        <x:v>26388608</x:v>
      </x:c>
      <x:c r="S170" s="3" t="n">
        <x:v>3265816</x:v>
      </x:c>
      <x:c r="T170" s="2" t="str">
        <x:v>4/3/4</x:v>
      </x:c>
      <x:c r="U170" s="2" t="str">
        <x:v>results/formal_rho_fixed/C2_rho_deferred_scan_N4096_B64_seed104.json</x:v>
      </x:c>
      <x:c r="V170" s="2" t="str">
        <x:v>0489f4bd1e4152ec7ca5ef50c3f1604bccb59e765e95b94bf4f1de9aeef688e4</x:v>
      </x:c>
    </x:row>
    <x:row r="171" ht="22" customHeight="1">
      <x:c r="A171" s="2" t="str">
        <x:v>C2_rho_deferred_scan_N4096_B64_seed105</x:v>
      </x:c>
      <x:c r="B171" s="2" t="str">
        <x:v>rho</x:v>
      </x:c>
      <x:c r="C171" s="2" t="str">
        <x:v>scan</x:v>
      </x:c>
      <x:c r="D171" s="2" t="str">
        <x:v>deferred</x:v>
      </x:c>
      <x:c r="E171" s="3" t="n">
        <x:v>105</x:v>
      </x:c>
      <x:c r="F171" s="3" t="n">
        <x:v>4096</x:v>
      </x:c>
      <x:c r="G171" s="3" t="n">
        <x:v>64</x:v>
      </x:c>
      <x:c r="H171" s="3" t="n">
        <x:v>4096</x:v>
      </x:c>
      <x:c r="I171" s="3" t="n">
        <x:v>188825648</x:v>
      </x:c>
      <x:c r="J171" s="3" t="n">
        <x:v>95412404</x:v>
      </x:c>
      <x:c r="K171" s="3" t="n">
        <x:v>93413244</x:v>
      </x:c>
      <x:c r="L171" s="3" t="n">
        <x:v>35498</x:v>
      </x:c>
      <x:c r="M171" s="3" t="n">
        <x:v>44344640</x:v>
      </x:c>
      <x:c r="N171" s="3" t="n">
        <x:v>27305280</x:v>
      </x:c>
      <x:c r="O171" s="3" t="n">
        <x:v>37731468</x:v>
      </x:c>
      <x:c r="P171" s="3" t="n">
        <x:v>37731468</x:v>
      </x:c>
      <x:c r="Q171" s="3" t="n">
        <x:v>12058368</x:v>
      </x:c>
      <x:c r="R171" s="3" t="n">
        <x:v>26388608</x:v>
      </x:c>
      <x:c r="S171" s="3" t="n">
        <x:v>3265816</x:v>
      </x:c>
      <x:c r="T171" s="2" t="str">
        <x:v>4/3/4</x:v>
      </x:c>
      <x:c r="U171" s="2" t="str">
        <x:v>results/formal_rho_fixed/C2_rho_deferred_scan_N4096_B64_seed105.json</x:v>
      </x:c>
      <x:c r="V171" s="2" t="str">
        <x:v>b6c9a2dfef56f7b165ed7ce2f83fb72d6a95fc62cf0b865bae5e56ee6cfc1b20</x:v>
      </x:c>
    </x:row>
    <x:row r="172" ht="22" customHeight="1">
      <x:c r="A172" s="2" t="str">
        <x:v>C2_rho_deferred_uniform_N4096_B64_seed101</x:v>
      </x:c>
      <x:c r="B172" s="2" t="str">
        <x:v>rho</x:v>
      </x:c>
      <x:c r="C172" s="2" t="str">
        <x:v>uniform</x:v>
      </x:c>
      <x:c r="D172" s="2" t="str">
        <x:v>deferred</x:v>
      </x:c>
      <x:c r="E172" s="3" t="n">
        <x:v>101</x:v>
      </x:c>
      <x:c r="F172" s="3" t="n">
        <x:v>4096</x:v>
      </x:c>
      <x:c r="G172" s="3" t="n">
        <x:v>64</x:v>
      </x:c>
      <x:c r="H172" s="3" t="n">
        <x:v>4096</x:v>
      </x:c>
      <x:c r="I172" s="3" t="n">
        <x:v>181788384</x:v>
      </x:c>
      <x:c r="J172" s="3" t="n">
        <x:v>91855972</x:v>
      </x:c>
      <x:c r="K172" s="3" t="n">
        <x:v>89932412</x:v>
      </x:c>
      <x:c r="L172" s="3" t="n">
        <x:v>34174</x:v>
      </x:c>
      <x:c r="M172" s="3" t="n">
        <x:v>42692320</x:v>
      </x:c>
      <x:c r="N172" s="3" t="n">
        <x:v>26289440</x:v>
      </x:c>
      <x:c r="O172" s="3" t="n">
        <x:v>36324684</x:v>
      </x:c>
      <x:c r="P172" s="3" t="n">
        <x:v>36324684</x:v>
      </x:c>
      <x:c r="Q172" s="3" t="n">
        <x:v>11608704</x:v>
      </x:c>
      <x:c r="R172" s="3" t="n">
        <x:v>25404544</x:v>
      </x:c>
      <x:c r="S172" s="3" t="n">
        <x:v>3144008</x:v>
      </x:c>
      <x:c r="T172" s="2" t="str">
        <x:v>4/3/4</x:v>
      </x:c>
      <x:c r="U172" s="2" t="str">
        <x:v>results/formal_rho_fixed/C2_rho_deferred_uniform_N4096_B64_seed101.json</x:v>
      </x:c>
      <x:c r="V172" s="2" t="str">
        <x:v>120a2b2f2fc2ecd7e4016267246e687908b0bb1e41aeb238846e4acacdb36325</x:v>
      </x:c>
    </x:row>
    <x:row r="173" ht="22" customHeight="1">
      <x:c r="A173" s="2" t="str">
        <x:v>C2_rho_deferred_uniform_N4096_B64_seed102</x:v>
      </x:c>
      <x:c r="B173" s="2" t="str">
        <x:v>rho</x:v>
      </x:c>
      <x:c r="C173" s="2" t="str">
        <x:v>uniform</x:v>
      </x:c>
      <x:c r="D173" s="2" t="str">
        <x:v>deferred</x:v>
      </x:c>
      <x:c r="E173" s="3" t="n">
        <x:v>102</x:v>
      </x:c>
      <x:c r="F173" s="3" t="n">
        <x:v>4096</x:v>
      </x:c>
      <x:c r="G173" s="3" t="n">
        <x:v>64</x:v>
      </x:c>
      <x:c r="H173" s="3" t="n">
        <x:v>4096</x:v>
      </x:c>
      <x:c r="I173" s="3" t="n">
        <x:v>181414160</x:v>
      </x:c>
      <x:c r="J173" s="3" t="n">
        <x:v>91667064</x:v>
      </x:c>
      <x:c r="K173" s="3" t="n">
        <x:v>89747096</x:v>
      </x:c>
      <x:c r="L173" s="3" t="n">
        <x:v>34104</x:v>
      </x:c>
      <x:c r="M173" s="3" t="n">
        <x:v>42604320</x:v>
      </x:c>
      <x:c r="N173" s="3" t="n">
        <x:v>26234720</x:v>
      </x:c>
      <x:c r="O173" s="3" t="n">
        <x:v>36250104</x:v>
      </x:c>
      <x:c r="P173" s="3" t="n">
        <x:v>36250104</x:v>
      </x:c>
      <x:c r="Q173" s="3" t="n">
        <x:v>11584896</x:v>
      </x:c>
      <x:c r="R173" s="3" t="n">
        <x:v>25352448</x:v>
      </x:c>
      <x:c r="S173" s="3" t="n">
        <x:v>3137568</x:v>
      </x:c>
      <x:c r="T173" s="2" t="str">
        <x:v>4/3/4</x:v>
      </x:c>
      <x:c r="U173" s="2" t="str">
        <x:v>results/formal_rho_fixed/C2_rho_deferred_uniform_N4096_B64_seed102.json</x:v>
      </x:c>
      <x:c r="V173" s="2" t="str">
        <x:v>c0ec980a5013b8b40ae98f973dfb6e5ea14a4bae7c0c29bcb39b6b71f1b397ee</x:v>
      </x:c>
    </x:row>
    <x:row r="174" ht="22" customHeight="1">
      <x:c r="A174" s="2" t="str">
        <x:v>C2_rho_deferred_uniform_N4096_B64_seed103</x:v>
      </x:c>
      <x:c r="B174" s="2" t="str">
        <x:v>rho</x:v>
      </x:c>
      <x:c r="C174" s="2" t="str">
        <x:v>uniform</x:v>
      </x:c>
      <x:c r="D174" s="2" t="str">
        <x:v>deferred</x:v>
      </x:c>
      <x:c r="E174" s="3" t="n">
        <x:v>103</x:v>
      </x:c>
      <x:c r="F174" s="3" t="n">
        <x:v>4096</x:v>
      </x:c>
      <x:c r="G174" s="3" t="n">
        <x:v>64</x:v>
      </x:c>
      <x:c r="H174" s="3" t="n">
        <x:v>4096</x:v>
      </x:c>
      <x:c r="I174" s="3" t="n">
        <x:v>181397920</x:v>
      </x:c>
      <x:c r="J174" s="3" t="n">
        <x:v>91659412</x:v>
      </x:c>
      <x:c r="K174" s="3" t="n">
        <x:v>89738508</x:v>
      </x:c>
      <x:c r="L174" s="3" t="n">
        <x:v>34102</x:v>
      </x:c>
      <x:c r="M174" s="3" t="n">
        <x:v>42600160</x:v>
      </x:c>
      <x:c r="N174" s="3" t="n">
        <x:v>26230560</x:v>
      </x:c>
      <x:c r="O174" s="3" t="n">
        <x:v>36247452</x:v>
      </x:c>
      <x:c r="P174" s="3" t="n">
        <x:v>36247452</x:v>
      </x:c>
      <x:c r="Q174" s="3" t="n">
        <x:v>11584128</x:v>
      </x:c>
      <x:c r="R174" s="3" t="n">
        <x:v>25350784</x:v>
      </x:c>
      <x:c r="S174" s="3" t="n">
        <x:v>3137384</x:v>
      </x:c>
      <x:c r="T174" s="2" t="str">
        <x:v>4/3/4</x:v>
      </x:c>
      <x:c r="U174" s="2" t="str">
        <x:v>results/formal_rho_fixed/C2_rho_deferred_uniform_N4096_B64_seed103.json</x:v>
      </x:c>
      <x:c r="V174" s="2" t="str">
        <x:v>f525bc9610a1d54880dbe539c73b34cfbb76ee10cd9bbed89c8b08f9b2db576e</x:v>
      </x:c>
    </x:row>
    <x:row r="175" ht="22" customHeight="1">
      <x:c r="A175" s="2" t="str">
        <x:v>C2_rho_deferred_uniform_N4096_B64_seed104</x:v>
      </x:c>
      <x:c r="B175" s="2" t="str">
        <x:v>rho</x:v>
      </x:c>
      <x:c r="C175" s="2" t="str">
        <x:v>uniform</x:v>
      </x:c>
      <x:c r="D175" s="2" t="str">
        <x:v>deferred</x:v>
      </x:c>
      <x:c r="E175" s="3" t="n">
        <x:v>104</x:v>
      </x:c>
      <x:c r="F175" s="3" t="n">
        <x:v>4096</x:v>
      </x:c>
      <x:c r="G175" s="3" t="n">
        <x:v>64</x:v>
      </x:c>
      <x:c r="H175" s="3" t="n">
        <x:v>4096</x:v>
      </x:c>
      <x:c r="I175" s="3" t="n">
        <x:v>181096864</x:v>
      </x:c>
      <x:c r="J175" s="3" t="n">
        <x:v>91506552</x:v>
      </x:c>
      <x:c r="K175" s="3" t="n">
        <x:v>89590312</x:v>
      </x:c>
      <x:c r="L175" s="3" t="n">
        <x:v>34044</x:v>
      </x:c>
      <x:c r="M175" s="3" t="n">
        <x:v>42529920</x:v>
      </x:c>
      <x:c r="N175" s="3" t="n">
        <x:v>26189440</x:v>
      </x:c>
      <x:c r="O175" s="3" t="n">
        <x:v>36186504</x:v>
      </x:c>
      <x:c r="P175" s="3" t="n">
        <x:v>36186504</x:v>
      </x:c>
      <x:c r="Q175" s="3" t="n">
        <x:v>11564544</x:v>
      </x:c>
      <x:c r="R175" s="3" t="n">
        <x:v>25307904</x:v>
      </x:c>
      <x:c r="S175" s="3" t="n">
        <x:v>3132048</x:v>
      </x:c>
      <x:c r="T175" s="2" t="str">
        <x:v>4/3/4</x:v>
      </x:c>
      <x:c r="U175" s="2" t="str">
        <x:v>results/formal_rho_fixed/C2_rho_deferred_uniform_N4096_B64_seed104.json</x:v>
      </x:c>
      <x:c r="V175" s="2" t="str">
        <x:v>8112cb9e0669bc830856e8147e0997954bc5dc358ac6f55156459d0299c4aeea</x:v>
      </x:c>
    </x:row>
    <x:row r="176" ht="22" customHeight="1">
      <x:c r="A176" s="2" t="str">
        <x:v>C2_rho_deferred_uniform_N4096_B64_seed105</x:v>
      </x:c>
      <x:c r="B176" s="2" t="str">
        <x:v>rho</x:v>
      </x:c>
      <x:c r="C176" s="2" t="str">
        <x:v>uniform</x:v>
      </x:c>
      <x:c r="D176" s="2" t="str">
        <x:v>deferred</x:v>
      </x:c>
      <x:c r="E176" s="3" t="n">
        <x:v>105</x:v>
      </x:c>
      <x:c r="F176" s="3" t="n">
        <x:v>4096</x:v>
      </x:c>
      <x:c r="G176" s="3" t="n">
        <x:v>64</x:v>
      </x:c>
      <x:c r="H176" s="3" t="n">
        <x:v>4096</x:v>
      </x:c>
      <x:c r="I176" s="3" t="n">
        <x:v>181080624</x:v>
      </x:c>
      <x:c r="J176" s="3" t="n">
        <x:v>91498900</x:v>
      </x:c>
      <x:c r="K176" s="3" t="n">
        <x:v>89581724</x:v>
      </x:c>
      <x:c r="L176" s="3" t="n">
        <x:v>34042</x:v>
      </x:c>
      <x:c r="M176" s="3" t="n">
        <x:v>42525760</x:v>
      </x:c>
      <x:c r="N176" s="3" t="n">
        <x:v>26185280</x:v>
      </x:c>
      <x:c r="O176" s="3" t="n">
        <x:v>36183852</x:v>
      </x:c>
      <x:c r="P176" s="3" t="n">
        <x:v>36183852</x:v>
      </x:c>
      <x:c r="Q176" s="3" t="n">
        <x:v>11563776</x:v>
      </x:c>
      <x:c r="R176" s="3" t="n">
        <x:v>25306240</x:v>
      </x:c>
      <x:c r="S176" s="3" t="n">
        <x:v>3131864</x:v>
      </x:c>
      <x:c r="T176" s="2" t="str">
        <x:v>4/3/4</x:v>
      </x:c>
      <x:c r="U176" s="2" t="str">
        <x:v>results/formal_rho_fixed/C2_rho_deferred_uniform_N4096_B64_seed105.json</x:v>
      </x:c>
      <x:c r="V176" s="2" t="str">
        <x:v>4887440b21781589cc92fd0e585df2096b01e588be73d95b859198c4f6a78658</x:v>
      </x:c>
    </x:row>
    <x:row r="177" ht="22" customHeight="1">
      <x:c r="A177" s="2" t="str">
        <x:v>C2_rho_deferred_zipf09_N4096_B64_seed101</x:v>
      </x:c>
      <x:c r="B177" s="2" t="str">
        <x:v>rho</x:v>
      </x:c>
      <x:c r="C177" s="2" t="str">
        <x:v>zipf09</x:v>
      </x:c>
      <x:c r="D177" s="2" t="str">
        <x:v>deferred</x:v>
      </x:c>
      <x:c r="E177" s="3" t="n">
        <x:v>101</x:v>
      </x:c>
      <x:c r="F177" s="3" t="n">
        <x:v>4096</x:v>
      </x:c>
      <x:c r="G177" s="3" t="n">
        <x:v>64</x:v>
      </x:c>
      <x:c r="H177" s="3" t="n">
        <x:v>4096</x:v>
      </x:c>
      <x:c r="I177" s="3" t="n">
        <x:v>119177360</x:v>
      </x:c>
      <x:c r="J177" s="3" t="n">
        <x:v>60219264</x:v>
      </x:c>
      <x:c r="K177" s="3" t="n">
        <x:v>58958096</x:v>
      </x:c>
      <x:c r="L177" s="3" t="n">
        <x:v>22404</x:v>
      </x:c>
      <x:c r="M177" s="3" t="n">
        <x:v>27988320</x:v>
      </x:c>
      <x:c r="N177" s="3" t="n">
        <x:v>17234720</x:v>
      </x:c>
      <x:c r="O177" s="3" t="n">
        <x:v>23813904</x:v>
      </x:c>
      <x:c r="P177" s="3" t="n">
        <x:v>23813904</x:v>
      </x:c>
      <x:c r="Q177" s="3" t="n">
        <x:v>7610496</x:v>
      </x:c>
      <x:c r="R177" s="3" t="n">
        <x:v>16654848</x:v>
      </x:c>
      <x:c r="S177" s="3" t="n">
        <x:v>2061168</x:v>
      </x:c>
      <x:c r="T177" s="2" t="str">
        <x:v>4/3/4</x:v>
      </x:c>
      <x:c r="U177" s="2" t="str">
        <x:v>results/formal_rho_fixed/C2_rho_deferred_zipf09_N4096_B64_seed101.json</x:v>
      </x:c>
      <x:c r="V177" s="2" t="str">
        <x:v>ef2cc773e9733fb92f8aea14349cfa9bf531010d2461f4071e04d13d1d463d0a</x:v>
      </x:c>
    </x:row>
    <x:row r="178" ht="22" customHeight="1">
      <x:c r="A178" s="2" t="str">
        <x:v>C2_rho_deferred_zipf09_N4096_B64_seed102</x:v>
      </x:c>
      <x:c r="B178" s="2" t="str">
        <x:v>rho</x:v>
      </x:c>
      <x:c r="C178" s="2" t="str">
        <x:v>zipf09</x:v>
      </x:c>
      <x:c r="D178" s="2" t="str">
        <x:v>deferred</x:v>
      </x:c>
      <x:c r="E178" s="3" t="n">
        <x:v>102</x:v>
      </x:c>
      <x:c r="F178" s="3" t="n">
        <x:v>4096</x:v>
      </x:c>
      <x:c r="G178" s="3" t="n">
        <x:v>64</x:v>
      </x:c>
      <x:c r="H178" s="3" t="n">
        <x:v>4096</x:v>
      </x:c>
      <x:c r="I178" s="3" t="n">
        <x:v>115955680</x:v>
      </x:c>
      <x:c r="J178" s="3" t="n">
        <x:v>58591188</x:v>
      </x:c>
      <x:c r="K178" s="3" t="n">
        <x:v>57364492</x:v>
      </x:c>
      <x:c r="L178" s="3" t="n">
        <x:v>21798</x:v>
      </x:c>
      <x:c r="M178" s="3" t="n">
        <x:v>27231840</x:v>
      </x:c>
      <x:c r="N178" s="3" t="n">
        <x:v>16769440</x:v>
      </x:c>
      <x:c r="O178" s="3" t="n">
        <x:v>23169948</x:v>
      </x:c>
      <x:c r="P178" s="3" t="n">
        <x:v>23169948</x:v>
      </x:c>
      <x:c r="Q178" s="3" t="n">
        <x:v>7404672</x:v>
      </x:c>
      <x:c r="R178" s="3" t="n">
        <x:v>16204416</x:v>
      </x:c>
      <x:c r="S178" s="3" t="n">
        <x:v>2005416</x:v>
      </x:c>
      <x:c r="T178" s="2" t="str">
        <x:v>4/3/4</x:v>
      </x:c>
      <x:c r="U178" s="2" t="str">
        <x:v>results/formal_rho_fixed/C2_rho_deferred_zipf09_N4096_B64_seed102.json</x:v>
      </x:c>
      <x:c r="V178" s="2" t="str">
        <x:v>dc0f3b8ef254d8baec90ae619e97a77102c38cf4102cee808619aef977e8dd99</x:v>
      </x:c>
    </x:row>
    <x:row r="179" ht="22" customHeight="1">
      <x:c r="A179" s="2" t="str">
        <x:v>C2_rho_deferred_zipf09_N4096_B64_seed103</x:v>
      </x:c>
      <x:c r="B179" s="2" t="str">
        <x:v>rho</x:v>
      </x:c>
      <x:c r="C179" s="2" t="str">
        <x:v>zipf09</x:v>
      </x:c>
      <x:c r="D179" s="2" t="str">
        <x:v>deferred</x:v>
      </x:c>
      <x:c r="E179" s="3" t="n">
        <x:v>103</x:v>
      </x:c>
      <x:c r="F179" s="3" t="n">
        <x:v>4096</x:v>
      </x:c>
      <x:c r="G179" s="3" t="n">
        <x:v>64</x:v>
      </x:c>
      <x:c r="H179" s="3" t="n">
        <x:v>4096</x:v>
      </x:c>
      <x:c r="I179" s="3" t="n">
        <x:v>119397040</x:v>
      </x:c>
      <x:c r="J179" s="3" t="n">
        <x:v>60330636</x:v>
      </x:c>
      <x:c r="K179" s="3" t="n">
        <x:v>59066404</x:v>
      </x:c>
      <x:c r="L179" s="3" t="n">
        <x:v>22446</x:v>
      </x:c>
      <x:c r="M179" s="3" t="n">
        <x:v>28039680</x:v>
      </x:c>
      <x:c r="N179" s="3" t="n">
        <x:v>17265280</x:v>
      </x:c>
      <x:c r="O179" s="3" t="n">
        <x:v>23858196</x:v>
      </x:c>
      <x:c r="P179" s="3" t="n">
        <x:v>23858196</x:v>
      </x:c>
      <x:c r="Q179" s="3" t="n">
        <x:v>7624704</x:v>
      </x:c>
      <x:c r="R179" s="3" t="n">
        <x:v>16685952</x:v>
      </x:c>
      <x:c r="S179" s="3" t="n">
        <x:v>2065032</x:v>
      </x:c>
      <x:c r="T179" s="2" t="str">
        <x:v>4/3/4</x:v>
      </x:c>
      <x:c r="U179" s="2" t="str">
        <x:v>results/formal_rho_fixed/C2_rho_deferred_zipf09_N4096_B64_seed103.json</x:v>
      </x:c>
      <x:c r="V179" s="2" t="str">
        <x:v>3b4978bd7ffcfb7504fa6c07059404de48ce4747af5c9a2153cd85f648be6704</x:v>
      </x:c>
    </x:row>
    <x:row r="180" ht="22" customHeight="1">
      <x:c r="A180" s="2" t="str">
        <x:v>C2_rho_deferred_zipf09_N4096_B64_seed104</x:v>
      </x:c>
      <x:c r="B180" s="2" t="str">
        <x:v>rho</x:v>
      </x:c>
      <x:c r="C180" s="2" t="str">
        <x:v>zipf09</x:v>
      </x:c>
      <x:c r="D180" s="2" t="str">
        <x:v>deferred</x:v>
      </x:c>
      <x:c r="E180" s="3" t="n">
        <x:v>104</x:v>
      </x:c>
      <x:c r="F180" s="3" t="n">
        <x:v>4096</x:v>
      </x:c>
      <x:c r="G180" s="3" t="n">
        <x:v>64</x:v>
      </x:c>
      <x:c r="H180" s="3" t="n">
        <x:v>4096</x:v>
      </x:c>
      <x:c r="I180" s="3" t="n">
        <x:v>121251920</x:v>
      </x:c>
      <x:c r="J180" s="3" t="n">
        <x:v>61267524</x:v>
      </x:c>
      <x:c r="K180" s="3" t="n">
        <x:v>59984396</x:v>
      </x:c>
      <x:c r="L180" s="3" t="n">
        <x:v>22794</x:v>
      </x:c>
      <x:c r="M180" s="3" t="n">
        <x:v>28475520</x:v>
      </x:c>
      <x:c r="N180" s="3" t="n">
        <x:v>17534720</x:v>
      </x:c>
      <x:c r="O180" s="3" t="n">
        <x:v>24228444</x:v>
      </x:c>
      <x:c r="P180" s="3" t="n">
        <x:v>24228444</x:v>
      </x:c>
      <x:c r="Q180" s="3" t="n">
        <x:v>7742976</x:v>
      </x:c>
      <x:c r="R180" s="3" t="n">
        <x:v>16944768</x:v>
      </x:c>
      <x:c r="S180" s="3" t="n">
        <x:v>2097048</x:v>
      </x:c>
      <x:c r="T180" s="2" t="str">
        <x:v>4/3/4</x:v>
      </x:c>
      <x:c r="U180" s="2" t="str">
        <x:v>results/formal_rho_fixed/C2_rho_deferred_zipf09_N4096_B64_seed104.json</x:v>
      </x:c>
      <x:c r="V180" s="2" t="str">
        <x:v>276bb4957541cb9b209d70f4f73af0cf82300e0cf62b91746cd702acdaf113d3</x:v>
      </x:c>
    </x:row>
    <x:row r="181" ht="22" customHeight="1">
      <x:c r="A181" s="2" t="str">
        <x:v>C2_rho_deferred_zipf09_N4096_B64_seed105</x:v>
      </x:c>
      <x:c r="B181" s="2" t="str">
        <x:v>rho</x:v>
      </x:c>
      <x:c r="C181" s="2" t="str">
        <x:v>zipf09</x:v>
      </x:c>
      <x:c r="D181" s="2" t="str">
        <x:v>deferred</x:v>
      </x:c>
      <x:c r="E181" s="3" t="n">
        <x:v>105</x:v>
      </x:c>
      <x:c r="F181" s="3" t="n">
        <x:v>4096</x:v>
      </x:c>
      <x:c r="G181" s="3" t="n">
        <x:v>64</x:v>
      </x:c>
      <x:c r="H181" s="3" t="n">
        <x:v>4096</x:v>
      </x:c>
      <x:c r="I181" s="3" t="n">
        <x:v>115443152</x:v>
      </x:c>
      <x:c r="J181" s="3" t="n">
        <x:v>58332396</x:v>
      </x:c>
      <x:c r="K181" s="3" t="n">
        <x:v>57110756</x:v>
      </x:c>
      <x:c r="L181" s="3" t="n">
        <x:v>21702</x:v>
      </x:c>
      <x:c r="M181" s="3" t="n">
        <x:v>27111360</x:v>
      </x:c>
      <x:c r="N181" s="3" t="n">
        <x:v>16694720</x:v>
      </x:c>
      <x:c r="O181" s="3" t="n">
        <x:v>23067732</x:v>
      </x:c>
      <x:c r="P181" s="3" t="n">
        <x:v>23067732</x:v>
      </x:c>
      <x:c r="Q181" s="3" t="n">
        <x:v>7372032</x:v>
      </x:c>
      <x:c r="R181" s="3" t="n">
        <x:v>16132992</x:v>
      </x:c>
      <x:c r="S181" s="3" t="n">
        <x:v>1996584</x:v>
      </x:c>
      <x:c r="T181" s="2" t="str">
        <x:v>4/3/4</x:v>
      </x:c>
      <x:c r="U181" s="2" t="str">
        <x:v>results/formal_rho_fixed/C2_rho_deferred_zipf09_N4096_B64_seed105.json</x:v>
      </x:c>
      <x:c r="V181" s="2" t="str">
        <x:v>1ac8cbb8f909acd1ef0d8d452e88fb768388d0bbc12dc6da5d04236c5d509e43</x:v>
      </x:c>
    </x:row>
    <x:row r="182" ht="22" customHeight="1">
      <x:c r="A182" s="2" t="str">
        <x:v>C2_rho_r0_hot90_N4096_B64_seed101</x:v>
      </x:c>
      <x:c r="B182" s="2" t="str">
        <x:v>rho</x:v>
      </x:c>
      <x:c r="C182" s="2" t="str">
        <x:v>hot90</x:v>
      </x:c>
      <x:c r="D182" s="2" t="str">
        <x:v>r0</x:v>
      </x:c>
      <x:c r="E182" s="3" t="n">
        <x:v>101</x:v>
      </x:c>
      <x:c r="F182" s="3" t="n">
        <x:v>4096</x:v>
      </x:c>
      <x:c r="G182" s="3" t="n">
        <x:v>64</x:v>
      </x:c>
      <x:c r="H182" s="3" t="n">
        <x:v>4096</x:v>
      </x:c>
      <x:c r="I182" s="3" t="n">
        <x:v>33790432</x:v>
      </x:c>
      <x:c r="J182" s="3" t="n">
        <x:v>15173888</x:v>
      </x:c>
      <x:c r="K182" s="3" t="n">
        <x:v>18616544</x:v>
      </x:c>
      <x:c r="L182" s="3" t="n">
        <x:v>7038</x:v>
      </x:c>
      <x:c r="M182" s="3" t="n">
        <x:v>5031360</x:v>
      </x:c>
      <x:c r="N182" s="3" t="n">
        <x:v>5561600</x:v>
      </x:c>
      <x:c r="O182" s="3" t="n">
        <x:v>5583432</x:v>
      </x:c>
      <x:c r="P182" s="3" t="n">
        <x:v>5583432</x:v>
      </x:c>
      <x:c r="Q182" s="3" t="n">
        <x:v>4305728</x:v>
      </x:c>
      <x:c r="R182" s="3" t="n">
        <x:v>7018880</x:v>
      </x:c>
      <x:c r="S182" s="3" t="n">
        <x:v>706000</x:v>
      </x:c>
      <x:c r="T182" s="2" t="str">
        <x:v>4/3/4</x:v>
      </x:c>
      <x:c r="U182" s="2" t="str">
        <x:v>results/formal_rho_fixed/C2_rho_r0_hot90_N4096_B64_seed101.json</x:v>
      </x:c>
      <x:c r="V182" s="2" t="str">
        <x:v>f3f9410130302b1a199239a78dbff8c1be9d87560c6daf43cfce545d8ac7c707</x:v>
      </x:c>
    </x:row>
    <x:row r="183" ht="22" customHeight="1">
      <x:c r="A183" s="2" t="str">
        <x:v>C2_rho_r0_hot90_N4096_B64_seed102</x:v>
      </x:c>
      <x:c r="B183" s="2" t="str">
        <x:v>rho</x:v>
      </x:c>
      <x:c r="C183" s="2" t="str">
        <x:v>hot90</x:v>
      </x:c>
      <x:c r="D183" s="2" t="str">
        <x:v>r0</x:v>
      </x:c>
      <x:c r="E183" s="3" t="n">
        <x:v>102</x:v>
      </x:c>
      <x:c r="F183" s="3" t="n">
        <x:v>4096</x:v>
      </x:c>
      <x:c r="G183" s="3" t="n">
        <x:v>64</x:v>
      </x:c>
      <x:c r="H183" s="3" t="n">
        <x:v>4096</x:v>
      </x:c>
      <x:c r="I183" s="3" t="n">
        <x:v>33991360</x:v>
      </x:c>
      <x:c r="J183" s="3" t="n">
        <x:v>15278476</x:v>
      </x:c>
      <x:c r="K183" s="3" t="n">
        <x:v>18712884</x:v>
      </x:c>
      <x:c r="L183" s="3" t="n">
        <x:v>7068</x:v>
      </x:c>
      <x:c r="M183" s="3" t="n">
        <x:v>5058240</x:v>
      </x:c>
      <x:c r="N183" s="3" t="n">
        <x:v>5583840</x:v>
      </x:c>
      <x:c r="O183" s="3" t="n">
        <x:v>5622492</x:v>
      </x:c>
      <x:c r="P183" s="3" t="n">
        <x:v>5622492</x:v>
      </x:c>
      <x:c r="Q183" s="3" t="n">
        <x:v>4343296</x:v>
      </x:c>
      <x:c r="R183" s="3" t="n">
        <x:v>7051392</x:v>
      </x:c>
      <x:c r="S183" s="3" t="n">
        <x:v>709608</x:v>
      </x:c>
      <x:c r="T183" s="2" t="str">
        <x:v>4/3/4</x:v>
      </x:c>
      <x:c r="U183" s="2" t="str">
        <x:v>results/formal_rho_fixed/C2_rho_r0_hot90_N4096_B64_seed102.json</x:v>
      </x:c>
      <x:c r="V183" s="2" t="str">
        <x:v>127da2671a4028a1a71d5b5788c3c59a87548069978464b162915047b1872e2a</x:v>
      </x:c>
    </x:row>
    <x:row r="184" ht="22" customHeight="1">
      <x:c r="A184" s="2" t="str">
        <x:v>C2_rho_r0_hot90_N4096_B64_seed103</x:v>
      </x:c>
      <x:c r="B184" s="2" t="str">
        <x:v>rho</x:v>
      </x:c>
      <x:c r="C184" s="2" t="str">
        <x:v>hot90</x:v>
      </x:c>
      <x:c r="D184" s="2" t="str">
        <x:v>r0</x:v>
      </x:c>
      <x:c r="E184" s="3" t="n">
        <x:v>103</x:v>
      </x:c>
      <x:c r="F184" s="3" t="n">
        <x:v>4096</x:v>
      </x:c>
      <x:c r="G184" s="3" t="n">
        <x:v>64</x:v>
      </x:c>
      <x:c r="H184" s="3" t="n">
        <x:v>4096</x:v>
      </x:c>
      <x:c r="I184" s="3" t="n">
        <x:v>33884368</x:v>
      </x:c>
      <x:c r="J184" s="3" t="n">
        <x:v>15228304</x:v>
      </x:c>
      <x:c r="K184" s="3" t="n">
        <x:v>18656064</x:v>
      </x:c>
      <x:c r="L184" s="3" t="n">
        <x:v>7041</x:v>
      </x:c>
      <x:c r="M184" s="3" t="n">
        <x:v>5040960</x:v>
      </x:c>
      <x:c r="N184" s="3" t="n">
        <x:v>5566080</x:v>
      </x:c>
      <x:c r="O184" s="3" t="n">
        <x:v>5603628</x:v>
      </x:c>
      <x:c r="P184" s="3" t="n">
        <x:v>5603628</x:v>
      </x:c>
      <x:c r="Q184" s="3" t="n">
        <x:v>4330240</x:v>
      </x:c>
      <x:c r="R184" s="3" t="n">
        <x:v>7032768</x:v>
      </x:c>
      <x:c r="S184" s="3" t="n">
        <x:v>707064</x:v>
      </x:c>
      <x:c r="T184" s="2" t="str">
        <x:v>4/3/4</x:v>
      </x:c>
      <x:c r="U184" s="2" t="str">
        <x:v>results/formal_rho_fixed/C2_rho_r0_hot90_N4096_B64_seed103.json</x:v>
      </x:c>
      <x:c r="V184" s="2" t="str">
        <x:v>81ef000c97bf93be2b10f3d9faae829f821341e8ac2d83aaa93311793c7ff98a</x:v>
      </x:c>
    </x:row>
    <x:row r="185" ht="22" customHeight="1">
      <x:c r="A185" s="2" t="str">
        <x:v>C2_rho_r0_hot90_N4096_B64_seed104</x:v>
      </x:c>
      <x:c r="B185" s="2" t="str">
        <x:v>rho</x:v>
      </x:c>
      <x:c r="C185" s="2" t="str">
        <x:v>hot90</x:v>
      </x:c>
      <x:c r="D185" s="2" t="str">
        <x:v>r0</x:v>
      </x:c>
      <x:c r="E185" s="3" t="n">
        <x:v>104</x:v>
      </x:c>
      <x:c r="F185" s="3" t="n">
        <x:v>4096</x:v>
      </x:c>
      <x:c r="G185" s="3" t="n">
        <x:v>64</x:v>
      </x:c>
      <x:c r="H185" s="3" t="n">
        <x:v>4096</x:v>
      </x:c>
      <x:c r="I185" s="3" t="n">
        <x:v>34284960</x:v>
      </x:c>
      <x:c r="J185" s="3" t="n">
        <x:v>15400780</x:v>
      </x:c>
      <x:c r="K185" s="3" t="n">
        <x:v>18884180</x:v>
      </x:c>
      <x:c r="L185" s="3" t="n">
        <x:v>7122</x:v>
      </x:c>
      <x:c r="M185" s="3" t="n">
        <x:v>5100320</x:v>
      </x:c>
      <x:c r="N185" s="3" t="n">
        <x:v>5636480</x:v>
      </x:c>
      <x:c r="O185" s="3" t="n">
        <x:v>5665764</x:v>
      </x:c>
      <x:c r="P185" s="3" t="n">
        <x:v>5665764</x:v>
      </x:c>
      <x:c r="Q185" s="3" t="n">
        <x:v>4378304</x:v>
      </x:c>
      <x:c r="R185" s="3" t="n">
        <x:v>7123200</x:v>
      </x:c>
      <x:c r="S185" s="3" t="n">
        <x:v>715128</x:v>
      </x:c>
      <x:c r="T185" s="2" t="str">
        <x:v>4/3/4</x:v>
      </x:c>
      <x:c r="U185" s="2" t="str">
        <x:v>results/formal_rho_fixed/C2_rho_r0_hot90_N4096_B64_seed104.json</x:v>
      </x:c>
      <x:c r="V185" s="2" t="str">
        <x:v>1ad0048b77b6049d27f8bfe1c1fd335743d957a342f512b89517acb7028b61cc</x:v>
      </x:c>
    </x:row>
    <x:row r="186" ht="22" customHeight="1">
      <x:c r="A186" s="2" t="str">
        <x:v>C2_rho_r0_hot90_N4096_B64_seed105</x:v>
      </x:c>
      <x:c r="B186" s="2" t="str">
        <x:v>rho</x:v>
      </x:c>
      <x:c r="C186" s="2" t="str">
        <x:v>hot90</x:v>
      </x:c>
      <x:c r="D186" s="2" t="str">
        <x:v>r0</x:v>
      </x:c>
      <x:c r="E186" s="3" t="n">
        <x:v>105</x:v>
      </x:c>
      <x:c r="F186" s="3" t="n">
        <x:v>4096</x:v>
      </x:c>
      <x:c r="G186" s="3" t="n">
        <x:v>64</x:v>
      </x:c>
      <x:c r="H186" s="3" t="n">
        <x:v>4096</x:v>
      </x:c>
      <x:c r="I186" s="3" t="n">
        <x:v>34303056</x:v>
      </x:c>
      <x:c r="J186" s="3" t="n">
        <x:v>15416608</x:v>
      </x:c>
      <x:c r="K186" s="3" t="n">
        <x:v>18886448</x:v>
      </x:c>
      <x:c r="L186" s="3" t="n">
        <x:v>7122</x:v>
      </x:c>
      <x:c r="M186" s="3" t="n">
        <x:v>5102320</x:v>
      </x:c>
      <x:c r="N186" s="3" t="n">
        <x:v>5632640</x:v>
      </x:c>
      <x:c r="O186" s="3" t="n">
        <x:v>5674536</x:v>
      </x:c>
      <x:c r="P186" s="3" t="n">
        <x:v>5674536</x:v>
      </x:c>
      <x:c r="Q186" s="3" t="n">
        <x:v>4383360</x:v>
      </x:c>
      <x:c r="R186" s="3" t="n">
        <x:v>7120192</x:v>
      </x:c>
      <x:c r="S186" s="3" t="n">
        <x:v>715472</x:v>
      </x:c>
      <x:c r="T186" s="2" t="str">
        <x:v>4/3/4</x:v>
      </x:c>
      <x:c r="U186" s="2" t="str">
        <x:v>results/formal_rho_fixed/C2_rho_r0_hot90_N4096_B64_seed105.json</x:v>
      </x:c>
      <x:c r="V186" s="2" t="str">
        <x:v>089c94eac75165eef1bb993a06c419a79643e71c2782600e7cf9792cf0684690</x:v>
      </x:c>
    </x:row>
    <x:row r="187" ht="22" customHeight="1">
      <x:c r="A187" s="2" t="str">
        <x:v>C2_rho_r0_scan_N4096_B64_seed101</x:v>
      </x:c>
      <x:c r="B187" s="2" t="str">
        <x:v>rho</x:v>
      </x:c>
      <x:c r="C187" s="2" t="str">
        <x:v>scan</x:v>
      </x:c>
      <x:c r="D187" s="2" t="str">
        <x:v>r0</x:v>
      </x:c>
      <x:c r="E187" s="3" t="n">
        <x:v>101</x:v>
      </x:c>
      <x:c r="F187" s="3" t="n">
        <x:v>4096</x:v>
      </x:c>
      <x:c r="G187" s="3" t="n">
        <x:v>64</x:v>
      </x:c>
      <x:c r="H187" s="3" t="n">
        <x:v>4096</x:v>
      </x:c>
      <x:c r="I187" s="3" t="n">
        <x:v>197234416</x:v>
      </x:c>
      <x:c r="J187" s="3" t="n">
        <x:v>88537436</x:v>
      </x:c>
      <x:c r="K187" s="3" t="n">
        <x:v>108696980</x:v>
      </x:c>
      <x:c r="L187" s="3" t="n">
        <x:v>40959</x:v>
      </x:c>
      <x:c r="M187" s="3" t="n">
        <x:v>29346080</x:v>
      </x:c>
      <x:c r="N187" s="3" t="n">
        <x:v>32464640</x:v>
      </x:c>
      <x:c r="O187" s="3" t="n">
        <x:v>32569248</x:v>
      </x:c>
      <x:c r="P187" s="3" t="n">
        <x:v>32569248</x:v>
      </x:c>
      <x:c r="Q187" s="3" t="n">
        <x:v>25147584</x:v>
      </x:c>
      <x:c r="R187" s="3" t="n">
        <x:v>41025728</x:v>
      </x:c>
      <x:c r="S187" s="3" t="n">
        <x:v>4111888</x:v>
      </x:c>
      <x:c r="T187" s="2" t="str">
        <x:v>4/3/4</x:v>
      </x:c>
      <x:c r="U187" s="2" t="str">
        <x:v>results/formal_rho_fixed/C2_rho_r0_scan_N4096_B64_seed101.json</x:v>
      </x:c>
      <x:c r="V187" s="2" t="str">
        <x:v>4c18315282cceb6446c2b0d4f3baadd56285a52cdee51d35cff91c84d3e2b849</x:v>
      </x:c>
    </x:row>
    <x:row r="188" ht="22" customHeight="1">
      <x:c r="A188" s="2" t="str">
        <x:v>C2_rho_r0_scan_N4096_B64_seed102</x:v>
      </x:c>
      <x:c r="B188" s="2" t="str">
        <x:v>rho</x:v>
      </x:c>
      <x:c r="C188" s="2" t="str">
        <x:v>scan</x:v>
      </x:c>
      <x:c r="D188" s="2" t="str">
        <x:v>r0</x:v>
      </x:c>
      <x:c r="E188" s="3" t="n">
        <x:v>102</x:v>
      </x:c>
      <x:c r="F188" s="3" t="n">
        <x:v>4096</x:v>
      </x:c>
      <x:c r="G188" s="3" t="n">
        <x:v>64</x:v>
      </x:c>
      <x:c r="H188" s="3" t="n">
        <x:v>4096</x:v>
      </x:c>
      <x:c r="I188" s="3" t="n">
        <x:v>197365952</x:v>
      </x:c>
      <x:c r="J188" s="3" t="n">
        <x:v>88576992</x:v>
      </x:c>
      <x:c r="K188" s="3" t="n">
        <x:v>108788960</x:v>
      </x:c>
      <x:c r="L188" s="3" t="n">
        <x:v>40959</x:v>
      </x:c>
      <x:c r="M188" s="3" t="n">
        <x:v>29362000</x:v>
      </x:c>
      <x:c r="N188" s="3" t="n">
        <x:v>32495360</x:v>
      </x:c>
      <x:c r="O188" s="3" t="n">
        <x:v>32580468</x:v>
      </x:c>
      <x:c r="P188" s="3" t="n">
        <x:v>32580468</x:v>
      </x:c>
      <x:c r="Q188" s="3" t="n">
        <x:v>25160000</x:v>
      </x:c>
      <x:c r="R188" s="3" t="n">
        <x:v>41075328</x:v>
      </x:c>
      <x:c r="S188" s="3" t="n">
        <x:v>4112328</x:v>
      </x:c>
      <x:c r="T188" s="2" t="str">
        <x:v>4/3/4</x:v>
      </x:c>
      <x:c r="U188" s="2" t="str">
        <x:v>results/formal_rho_fixed/C2_rho_r0_scan_N4096_B64_seed102.json</x:v>
      </x:c>
      <x:c r="V188" s="2" t="str">
        <x:v>5a106f8e8b9f6366d7cea2addeca30d05e04898eb9ca764b759ddca02105d505</x:v>
      </x:c>
    </x:row>
    <x:row r="189" ht="22" customHeight="1">
      <x:c r="A189" s="2" t="str">
        <x:v>C2_rho_r0_scan_N4096_B64_seed103</x:v>
      </x:c>
      <x:c r="B189" s="2" t="str">
        <x:v>rho</x:v>
      </x:c>
      <x:c r="C189" s="2" t="str">
        <x:v>scan</x:v>
      </x:c>
      <x:c r="D189" s="2" t="str">
        <x:v>r0</x:v>
      </x:c>
      <x:c r="E189" s="3" t="n">
        <x:v>103</x:v>
      </x:c>
      <x:c r="F189" s="3" t="n">
        <x:v>4096</x:v>
      </x:c>
      <x:c r="G189" s="3" t="n">
        <x:v>64</x:v>
      </x:c>
      <x:c r="H189" s="3" t="n">
        <x:v>4096</x:v>
      </x:c>
      <x:c r="I189" s="3" t="n">
        <x:v>197395008</x:v>
      </x:c>
      <x:c r="J189" s="3" t="n">
        <x:v>88635380</x:v>
      </x:c>
      <x:c r="K189" s="3" t="n">
        <x:v>108759628</x:v>
      </x:c>
      <x:c r="L189" s="3" t="n">
        <x:v>40959</x:v>
      </x:c>
      <x:c r="M189" s="3" t="n">
        <x:v>29363120</x:v>
      </x:c>
      <x:c r="N189" s="3" t="n">
        <x:v>32467840</x:v>
      </x:c>
      <x:c r="O189" s="3" t="n">
        <x:v>32609640</x:v>
      </x:c>
      <x:c r="P189" s="3" t="n">
        <x:v>32609640</x:v>
      </x:c>
      <x:c r="Q189" s="3" t="n">
        <x:v>25188096</x:v>
      </x:c>
      <x:c r="R189" s="3" t="n">
        <x:v>41043200</x:v>
      </x:c>
      <x:c r="S189" s="3" t="n">
        <x:v>4113472</x:v>
      </x:c>
      <x:c r="T189" s="2" t="str">
        <x:v>4/3/4</x:v>
      </x:c>
      <x:c r="U189" s="2" t="str">
        <x:v>results/formal_rho_fixed/C2_rho_r0_scan_N4096_B64_seed103.json</x:v>
      </x:c>
      <x:c r="V189" s="2" t="str">
        <x:v>bb0528645860f93ac2e840626419f8354144c622b53467737d885fc0040d4ce3</x:v>
      </x:c>
    </x:row>
    <x:row r="190" ht="22" customHeight="1">
      <x:c r="A190" s="2" t="str">
        <x:v>C2_rho_r0_scan_N4096_B64_seed104</x:v>
      </x:c>
      <x:c r="B190" s="2" t="str">
        <x:v>rho</x:v>
      </x:c>
      <x:c r="C190" s="2" t="str">
        <x:v>scan</x:v>
      </x:c>
      <x:c r="D190" s="2" t="str">
        <x:v>r0</x:v>
      </x:c>
      <x:c r="E190" s="3" t="n">
        <x:v>104</x:v>
      </x:c>
      <x:c r="F190" s="3" t="n">
        <x:v>4096</x:v>
      </x:c>
      <x:c r="G190" s="3" t="n">
        <x:v>64</x:v>
      </x:c>
      <x:c r="H190" s="3" t="n">
        <x:v>4096</x:v>
      </x:c>
      <x:c r="I190" s="3" t="n">
        <x:v>197358272</x:v>
      </x:c>
      <x:c r="J190" s="3" t="n">
        <x:v>88580124</x:v>
      </x:c>
      <x:c r="K190" s="3" t="n">
        <x:v>108778148</x:v>
      </x:c>
      <x:c r="L190" s="3" t="n">
        <x:v>40959</x:v>
      </x:c>
      <x:c r="M190" s="3" t="n">
        <x:v>29360880</x:v>
      </x:c>
      <x:c r="N190" s="3" t="n">
        <x:v>32489600</x:v>
      </x:c>
      <x:c r="O190" s="3" t="n">
        <x:v>32583120</x:v>
      </x:c>
      <x:c r="P190" s="3" t="n">
        <x:v>32583120</x:v>
      </x:c>
      <x:c r="Q190" s="3" t="n">
        <x:v>25161600</x:v>
      </x:c>
      <x:c r="R190" s="3" t="n">
        <x:v>41067520</x:v>
      </x:c>
      <x:c r="S190" s="3" t="n">
        <x:v>4112432</x:v>
      </x:c>
      <x:c r="T190" s="2" t="str">
        <x:v>4/3/4</x:v>
      </x:c>
      <x:c r="U190" s="2" t="str">
        <x:v>results/formal_rho_fixed/C2_rho_r0_scan_N4096_B64_seed104.json</x:v>
      </x:c>
      <x:c r="V190" s="2" t="str">
        <x:v>d5e9d3e607bb95b3368ae34468912a6097ab9c0e828d574a8cf85e7410aee538</x:v>
      </x:c>
    </x:row>
    <x:row r="191" ht="22" customHeight="1">
      <x:c r="A191" s="2" t="str">
        <x:v>C2_rho_r0_scan_N4096_B64_seed105</x:v>
      </x:c>
      <x:c r="B191" s="2" t="str">
        <x:v>rho</x:v>
      </x:c>
      <x:c r="C191" s="2" t="str">
        <x:v>scan</x:v>
      </x:c>
      <x:c r="D191" s="2" t="str">
        <x:v>r0</x:v>
      </x:c>
      <x:c r="E191" s="3" t="n">
        <x:v>105</x:v>
      </x:c>
      <x:c r="F191" s="3" t="n">
        <x:v>4096</x:v>
      </x:c>
      <x:c r="G191" s="3" t="n">
        <x:v>64</x:v>
      </x:c>
      <x:c r="H191" s="3" t="n">
        <x:v>4096</x:v>
      </x:c>
      <x:c r="I191" s="3" t="n">
        <x:v>197262816</x:v>
      </x:c>
      <x:c r="J191" s="3" t="n">
        <x:v>88563124</x:v>
      </x:c>
      <x:c r="K191" s="3" t="n">
        <x:v>108699692</x:v>
      </x:c>
      <x:c r="L191" s="3" t="n">
        <x:v>40959</x:v>
      </x:c>
      <x:c r="M191" s="3" t="n">
        <x:v>29348880</x:v>
      </x:c>
      <x:c r="N191" s="3" t="n">
        <x:v>32458880</x:v>
      </x:c>
      <x:c r="O191" s="3" t="n">
        <x:v>32581896</x:v>
      </x:c>
      <x:c r="P191" s="3" t="n">
        <x:v>32581896</x:v>
      </x:c>
      <x:c r="Q191" s="3" t="n">
        <x:v>25157824</x:v>
      </x:c>
      <x:c r="R191" s="3" t="n">
        <x:v>41021056</x:v>
      </x:c>
      <x:c r="S191" s="3" t="n">
        <x:v>4112384</x:v>
      </x:c>
      <x:c r="T191" s="2" t="str">
        <x:v>4/3/4</x:v>
      </x:c>
      <x:c r="U191" s="2" t="str">
        <x:v>results/formal_rho_fixed/C2_rho_r0_scan_N4096_B64_seed105.json</x:v>
      </x:c>
      <x:c r="V191" s="2" t="str">
        <x:v>8868e45954de89b5b6e83d06e9a77634263cc4411e67467e3f98d67c542bfa87</x:v>
      </x:c>
    </x:row>
    <x:row r="192" ht="22" customHeight="1">
      <x:c r="A192" s="2" t="str">
        <x:v>C2_rho_r0_uniform_N4096_B64_seed101</x:v>
      </x:c>
      <x:c r="B192" s="2" t="str">
        <x:v>rho</x:v>
      </x:c>
      <x:c r="C192" s="2" t="str">
        <x:v>uniform</x:v>
      </x:c>
      <x:c r="D192" s="2" t="str">
        <x:v>r0</x:v>
      </x:c>
      <x:c r="E192" s="3" t="n">
        <x:v>101</x:v>
      </x:c>
      <x:c r="F192" s="3" t="n">
        <x:v>4096</x:v>
      </x:c>
      <x:c r="G192" s="3" t="n">
        <x:v>64</x:v>
      </x:c>
      <x:c r="H192" s="3" t="n">
        <x:v>4096</x:v>
      </x:c>
      <x:c r="I192" s="3" t="n">
        <x:v>190013648</x:v>
      </x:c>
      <x:c r="J192" s="3" t="n">
        <x:v>85291148</x:v>
      </x:c>
      <x:c r="K192" s="3" t="n">
        <x:v>104722500</x:v>
      </x:c>
      <x:c r="L192" s="3" t="n">
        <x:v>39432</x:v>
      </x:c>
      <x:c r="M192" s="3" t="n">
        <x:v>28266960</x:v>
      </x:c>
      <x:c r="N192" s="3" t="n">
        <x:v>31273440</x:v>
      </x:c>
      <x:c r="O192" s="3" t="n">
        <x:v>31375644</x:v>
      </x:c>
      <x:c r="P192" s="3" t="n">
        <x:v>31375644</x:v>
      </x:c>
      <x:c r="Q192" s="3" t="n">
        <x:v>24228992</x:v>
      </x:c>
      <x:c r="R192" s="3" t="n">
        <x:v>39533504</x:v>
      </x:c>
      <x:c r="S192" s="3" t="n">
        <x:v>3959464</x:v>
      </x:c>
      <x:c r="T192" s="2" t="str">
        <x:v>4/3/4</x:v>
      </x:c>
      <x:c r="U192" s="2" t="str">
        <x:v>results/formal_rho_fixed/C2_rho_r0_uniform_N4096_B64_seed101.json</x:v>
      </x:c>
      <x:c r="V192" s="2" t="str">
        <x:v>d7f745d2f6375d4871b4c0551e5f03d1ed0f05b1e0e7338abc0c6b085fb4ed6e</x:v>
      </x:c>
    </x:row>
    <x:row r="193" ht="22" customHeight="1">
      <x:c r="A193" s="2" t="str">
        <x:v>C2_rho_r0_uniform_N4096_B64_seed102</x:v>
      </x:c>
      <x:c r="B193" s="2" t="str">
        <x:v>rho</x:v>
      </x:c>
      <x:c r="C193" s="2" t="str">
        <x:v>uniform</x:v>
      </x:c>
      <x:c r="D193" s="2" t="str">
        <x:v>r0</x:v>
      </x:c>
      <x:c r="E193" s="3" t="n">
        <x:v>102</x:v>
      </x:c>
      <x:c r="F193" s="3" t="n">
        <x:v>4096</x:v>
      </x:c>
      <x:c r="G193" s="3" t="n">
        <x:v>64</x:v>
      </x:c>
      <x:c r="H193" s="3" t="n">
        <x:v>4096</x:v>
      </x:c>
      <x:c r="I193" s="3" t="n">
        <x:v>189542832</x:v>
      </x:c>
      <x:c r="J193" s="3" t="n">
        <x:v>85070696</x:v>
      </x:c>
      <x:c r="K193" s="3" t="n">
        <x:v>104472136</x:v>
      </x:c>
      <x:c r="L193" s="3" t="n">
        <x:v>39351</x:v>
      </x:c>
      <x:c r="M193" s="3" t="n">
        <x:v>28200480</x:v>
      </x:c>
      <x:c r="N193" s="3" t="n">
        <x:v>31204960</x:v>
      </x:c>
      <x:c r="O193" s="3" t="n">
        <x:v>31293516</x:v>
      </x:c>
      <x:c r="P193" s="3" t="n">
        <x:v>31293516</x:v>
      </x:c>
      <x:c r="Q193" s="3" t="n">
        <x:v>24160064</x:v>
      </x:c>
      <x:c r="R193" s="3" t="n">
        <x:v>39439680</x:v>
      </x:c>
      <x:c r="S193" s="3" t="n">
        <x:v>3950616</x:v>
      </x:c>
      <x:c r="T193" s="2" t="str">
        <x:v>4/3/4</x:v>
      </x:c>
      <x:c r="U193" s="2" t="str">
        <x:v>results/formal_rho_fixed/C2_rho_r0_uniform_N4096_B64_seed102.json</x:v>
      </x:c>
      <x:c r="V193" s="2" t="str">
        <x:v>98cd16f02f442b4c5745ad132356911cfe6ec8b56d2e67ff87efc2287050ed12</x:v>
      </x:c>
    </x:row>
    <x:row r="194" ht="22" customHeight="1">
      <x:c r="A194" s="2" t="str">
        <x:v>C2_rho_r0_uniform_N4096_B64_seed103</x:v>
      </x:c>
      <x:c r="B194" s="2" t="str">
        <x:v>rho</x:v>
      </x:c>
      <x:c r="C194" s="2" t="str">
        <x:v>uniform</x:v>
      </x:c>
      <x:c r="D194" s="2" t="str">
        <x:v>r0</x:v>
      </x:c>
      <x:c r="E194" s="3" t="n">
        <x:v>103</x:v>
      </x:c>
      <x:c r="F194" s="3" t="n">
        <x:v>4096</x:v>
      </x:c>
      <x:c r="G194" s="3" t="n">
        <x:v>64</x:v>
      </x:c>
      <x:c r="H194" s="3" t="n">
        <x:v>4096</x:v>
      </x:c>
      <x:c r="I194" s="3" t="n">
        <x:v>189579584</x:v>
      </x:c>
      <x:c r="J194" s="3" t="n">
        <x:v>85088688</x:v>
      </x:c>
      <x:c r="K194" s="3" t="n">
        <x:v>104490896</x:v>
      </x:c>
      <x:c r="L194" s="3" t="n">
        <x:v>39348</x:v>
      </x:c>
      <x:c r="M194" s="3" t="n">
        <x:v>28204640</x:v>
      </x:c>
      <x:c r="N194" s="3" t="n">
        <x:v>31209440</x:v>
      </x:c>
      <x:c r="O194" s="3" t="n">
        <x:v>31299840</x:v>
      </x:c>
      <x:c r="P194" s="3" t="n">
        <x:v>31299840</x:v>
      </x:c>
      <x:c r="Q194" s="3" t="n">
        <x:v>24167680</x:v>
      </x:c>
      <x:c r="R194" s="3" t="n">
        <x:v>39447552</x:v>
      </x:c>
      <x:c r="S194" s="3" t="n">
        <x:v>3950592</x:v>
      </x:c>
      <x:c r="T194" s="2" t="str">
        <x:v>4/3/4</x:v>
      </x:c>
      <x:c r="U194" s="2" t="str">
        <x:v>results/formal_rho_fixed/C2_rho_r0_uniform_N4096_B64_seed103.json</x:v>
      </x:c>
      <x:c r="V194" s="2" t="str">
        <x:v>0c313127b1f9fe002062f1fd7b9c27c7a6adc619371de431ec083a34935d440d</x:v>
      </x:c>
    </x:row>
    <x:row r="195" ht="22" customHeight="1">
      <x:c r="A195" s="2" t="str">
        <x:v>C2_rho_r0_uniform_N4096_B64_seed104</x:v>
      </x:c>
      <x:c r="B195" s="2" t="str">
        <x:v>rho</x:v>
      </x:c>
      <x:c r="C195" s="2" t="str">
        <x:v>uniform</x:v>
      </x:c>
      <x:c r="D195" s="2" t="str">
        <x:v>r0</x:v>
      </x:c>
      <x:c r="E195" s="3" t="n">
        <x:v>104</x:v>
      </x:c>
      <x:c r="F195" s="3" t="n">
        <x:v>4096</x:v>
      </x:c>
      <x:c r="G195" s="3" t="n">
        <x:v>64</x:v>
      </x:c>
      <x:c r="H195" s="3" t="n">
        <x:v>4096</x:v>
      </x:c>
      <x:c r="I195" s="3" t="n">
        <x:v>189300320</x:v>
      </x:c>
      <x:c r="J195" s="3" t="n">
        <x:v>84987020</x:v>
      </x:c>
      <x:c r="K195" s="3" t="n">
        <x:v>104313300</x:v>
      </x:c>
      <x:c r="L195" s="3" t="n">
        <x:v>39282</x:v>
      </x:c>
      <x:c r="M195" s="3" t="n">
        <x:v>28159840</x:v>
      </x:c>
      <x:c r="N195" s="3" t="n">
        <x:v>31144320</x:v>
      </x:c>
      <x:c r="O195" s="3" t="n">
        <x:v>31267044</x:v>
      </x:c>
      <x:c r="P195" s="3" t="n">
        <x:v>31267044</x:v>
      </x:c>
      <x:c r="Q195" s="3" t="n">
        <x:v>24145984</x:v>
      </x:c>
      <x:c r="R195" s="3" t="n">
        <x:v>39371264</x:v>
      </x:c>
      <x:c r="S195" s="3" t="n">
        <x:v>3944824</x:v>
      </x:c>
      <x:c r="T195" s="2" t="str">
        <x:v>4/3/4</x:v>
      </x:c>
      <x:c r="U195" s="2" t="str">
        <x:v>results/formal_rho_fixed/C2_rho_r0_uniform_N4096_B64_seed104.json</x:v>
      </x:c>
      <x:c r="V195" s="2" t="str">
        <x:v>150f3f60e58a9e728c19e7628193b3e2c5cb97135d43295269c383ce01b8f418</x:v>
      </x:c>
    </x:row>
    <x:row r="196" ht="22" customHeight="1">
      <x:c r="A196" s="2" t="str">
        <x:v>C2_rho_r0_uniform_N4096_B64_seed105</x:v>
      </x:c>
      <x:c r="B196" s="2" t="str">
        <x:v>rho</x:v>
      </x:c>
      <x:c r="C196" s="2" t="str">
        <x:v>uniform</x:v>
      </x:c>
      <x:c r="D196" s="2" t="str">
        <x:v>r0</x:v>
      </x:c>
      <x:c r="E196" s="3" t="n">
        <x:v>105</x:v>
      </x:c>
      <x:c r="F196" s="3" t="n">
        <x:v>4096</x:v>
      </x:c>
      <x:c r="G196" s="3" t="n">
        <x:v>64</x:v>
      </x:c>
      <x:c r="H196" s="3" t="n">
        <x:v>4096</x:v>
      </x:c>
      <x:c r="I196" s="3" t="n">
        <x:v>189311936</x:v>
      </x:c>
      <x:c r="J196" s="3" t="n">
        <x:v>84983248</x:v>
      </x:c>
      <x:c r="K196" s="3" t="n">
        <x:v>104328688</x:v>
      </x:c>
      <x:c r="L196" s="3" t="n">
        <x:v>39279</x:v>
      </x:c>
      <x:c r="M196" s="3" t="n">
        <x:v>28161680</x:v>
      </x:c>
      <x:c r="N196" s="3" t="n">
        <x:v>31152640</x:v>
      </x:c>
      <x:c r="O196" s="3" t="n">
        <x:v>31263780</x:v>
      </x:c>
      <x:c r="P196" s="3" t="n">
        <x:v>31263780</x:v>
      </x:c>
      <x:c r="Q196" s="3" t="n">
        <x:v>24143744</x:v>
      </x:c>
      <x:c r="R196" s="3" t="n">
        <x:v>39381888</x:v>
      </x:c>
      <x:c r="S196" s="3" t="n">
        <x:v>3944424</x:v>
      </x:c>
      <x:c r="T196" s="2" t="str">
        <x:v>4/3/4</x:v>
      </x:c>
      <x:c r="U196" s="2" t="str">
        <x:v>results/formal_rho_fixed/C2_rho_r0_uniform_N4096_B64_seed105.json</x:v>
      </x:c>
      <x:c r="V196" s="2" t="str">
        <x:v>be1e1e8fd1717d87eae6247dd509c3c0f2a86fcbb7cc3c001f4932eeda0f3141</x:v>
      </x:c>
    </x:row>
    <x:row r="197" ht="22" customHeight="1">
      <x:c r="A197" s="2" t="str">
        <x:v>C2_rho_r0_zipf09_N4096_B64_seed101</x:v>
      </x:c>
      <x:c r="B197" s="2" t="str">
        <x:v>rho</x:v>
      </x:c>
      <x:c r="C197" s="2" t="str">
        <x:v>zipf09</x:v>
      </x:c>
      <x:c r="D197" s="2" t="str">
        <x:v>r0</x:v>
      </x:c>
      <x:c r="E197" s="3" t="n">
        <x:v>101</x:v>
      </x:c>
      <x:c r="F197" s="3" t="n">
        <x:v>4096</x:v>
      </x:c>
      <x:c r="G197" s="3" t="n">
        <x:v>64</x:v>
      </x:c>
      <x:c r="H197" s="3" t="n">
        <x:v>4096</x:v>
      </x:c>
      <x:c r="I197" s="3" t="n">
        <x:v>124457872</x:v>
      </x:c>
      <x:c r="J197" s="3" t="n">
        <x:v>55891016</x:v>
      </x:c>
      <x:c r="K197" s="3" t="n">
        <x:v>68566856</x:v>
      </x:c>
      <x:c r="L197" s="3" t="n">
        <x:v>25851</x:v>
      </x:c>
      <x:c r="M197" s="3" t="n">
        <x:v>18517440</x:v>
      </x:c>
      <x:c r="N197" s="3" t="n">
        <x:v>20469920</x:v>
      </x:c>
      <x:c r="O197" s="3" t="n">
        <x:v>20564796</x:v>
      </x:c>
      <x:c r="P197" s="3" t="n">
        <x:v>20564796</x:v>
      </x:c>
      <x:c r="Q197" s="3" t="n">
        <x:v>15878144</x:v>
      </x:c>
      <x:c r="R197" s="3" t="n">
        <x:v>25867200</x:v>
      </x:c>
      <x:c r="S197" s="3" t="n">
        <x:v>2595576</x:v>
      </x:c>
      <x:c r="T197" s="2" t="str">
        <x:v>4/3/4</x:v>
      </x:c>
      <x:c r="U197" s="2" t="str">
        <x:v>results/formal_rho_fixed/C2_rho_r0_zipf09_N4096_B64_seed101.json</x:v>
      </x:c>
      <x:c r="V197" s="2" t="str">
        <x:v>14dcb8b52e18479099dd67c14de4c7ffb45cec220496751311b3540114c047e8</x:v>
      </x:c>
    </x:row>
    <x:row r="198" ht="22" customHeight="1">
      <x:c r="A198" s="2" t="str">
        <x:v>C2_rho_r0_zipf09_N4096_B64_seed102</x:v>
      </x:c>
      <x:c r="B198" s="2" t="str">
        <x:v>rho</x:v>
      </x:c>
      <x:c r="C198" s="2" t="str">
        <x:v>zipf09</x:v>
      </x:c>
      <x:c r="D198" s="2" t="str">
        <x:v>r0</x:v>
      </x:c>
      <x:c r="E198" s="3" t="n">
        <x:v>102</x:v>
      </x:c>
      <x:c r="F198" s="3" t="n">
        <x:v>4096</x:v>
      </x:c>
      <x:c r="G198" s="3" t="n">
        <x:v>64</x:v>
      </x:c>
      <x:c r="H198" s="3" t="n">
        <x:v>4096</x:v>
      </x:c>
      <x:c r="I198" s="3" t="n">
        <x:v>121178336</x:v>
      </x:c>
      <x:c r="J198" s="3" t="n">
        <x:v>54396016</x:v>
      </x:c>
      <x:c r="K198" s="3" t="n">
        <x:v>66782320</x:v>
      </x:c>
      <x:c r="L198" s="3" t="n">
        <x:v>25152</x:v>
      </x:c>
      <x:c r="M198" s="3" t="n">
        <x:v>18027520</x:v>
      </x:c>
      <x:c r="N198" s="3" t="n">
        <x:v>19942240</x:v>
      </x:c>
      <x:c r="O198" s="3" t="n">
        <x:v>20011824</x:v>
      </x:c>
      <x:c r="P198" s="3" t="n">
        <x:v>20011824</x:v>
      </x:c>
      <x:c r="Q198" s="3" t="n">
        <x:v>15451200</x:v>
      </x:c>
      <x:c r="R198" s="3" t="n">
        <x:v>25208192</x:v>
      </x:c>
      <x:c r="S198" s="3" t="n">
        <x:v>2525536</x:v>
      </x:c>
      <x:c r="T198" s="2" t="str">
        <x:v>4/3/4</x:v>
      </x:c>
      <x:c r="U198" s="2" t="str">
        <x:v>results/formal_rho_fixed/C2_rho_r0_zipf09_N4096_B64_seed102.json</x:v>
      </x:c>
      <x:c r="V198" s="2" t="str">
        <x:v>d799ee89d80a9c7808c9164f0e322f9723fa935d0e702a1027feecd02a09f1f8</x:v>
      </x:c>
    </x:row>
    <x:row r="199" ht="22" customHeight="1">
      <x:c r="A199" s="2" t="str">
        <x:v>C2_rho_r0_zipf09_N4096_B64_seed103</x:v>
      </x:c>
      <x:c r="B199" s="2" t="str">
        <x:v>rho</x:v>
      </x:c>
      <x:c r="C199" s="2" t="str">
        <x:v>zipf09</x:v>
      </x:c>
      <x:c r="D199" s="2" t="str">
        <x:v>r0</x:v>
      </x:c>
      <x:c r="E199" s="3" t="n">
        <x:v>103</x:v>
      </x:c>
      <x:c r="F199" s="3" t="n">
        <x:v>4096</x:v>
      </x:c>
      <x:c r="G199" s="3" t="n">
        <x:v>64</x:v>
      </x:c>
      <x:c r="H199" s="3" t="n">
        <x:v>4096</x:v>
      </x:c>
      <x:c r="I199" s="3" t="n">
        <x:v>124744128</x:v>
      </x:c>
      <x:c r="J199" s="3" t="n">
        <x:v>56029316</x:v>
      </x:c>
      <x:c r="K199" s="3" t="n">
        <x:v>68714812</x:v>
      </x:c>
      <x:c r="L199" s="3" t="n">
        <x:v>25899</x:v>
      </x:c>
      <x:c r="M199" s="3" t="n">
        <x:v>18557360</x:v>
      </x:c>
      <x:c r="N199" s="3" t="n">
        <x:v>20511040</x:v>
      </x:c>
      <x:c r="O199" s="3" t="n">
        <x:v>20613576</x:v>
      </x:c>
      <x:c r="P199" s="3" t="n">
        <x:v>20613576</x:v>
      </x:c>
      <x:c r="Q199" s="3" t="n">
        <x:v>15926016</x:v>
      </x:c>
      <x:c r="R199" s="3" t="n">
        <x:v>25921792</x:v>
      </x:c>
      <x:c r="S199" s="3" t="n">
        <x:v>2600768</x:v>
      </x:c>
      <x:c r="T199" s="2" t="str">
        <x:v>4/3/4</x:v>
      </x:c>
      <x:c r="U199" s="2" t="str">
        <x:v>results/formal_rho_fixed/C2_rho_r0_zipf09_N4096_B64_seed103.json</x:v>
      </x:c>
      <x:c r="V199" s="2" t="str">
        <x:v>50f3d95a05a8d43b01b80400486a439d4c1e374e6df19a03461f90929d7ed8f5</x:v>
      </x:c>
    </x:row>
    <x:row r="200" ht="22" customHeight="1">
      <x:c r="A200" s="2" t="str">
        <x:v>C2_rho_r0_zipf09_N4096_B64_seed104</x:v>
      </x:c>
      <x:c r="B200" s="2" t="str">
        <x:v>rho</x:v>
      </x:c>
      <x:c r="C200" s="2" t="str">
        <x:v>zipf09</x:v>
      </x:c>
      <x:c r="D200" s="2" t="str">
        <x:v>r0</x:v>
      </x:c>
      <x:c r="E200" s="3" t="n">
        <x:v>104</x:v>
      </x:c>
      <x:c r="F200" s="3" t="n">
        <x:v>4096</x:v>
      </x:c>
      <x:c r="G200" s="3" t="n">
        <x:v>64</x:v>
      </x:c>
      <x:c r="H200" s="3" t="n">
        <x:v>4096</x:v>
      </x:c>
      <x:c r="I200" s="3" t="n">
        <x:v>126579072</x:v>
      </x:c>
      <x:c r="J200" s="3" t="n">
        <x:v>56841652</x:v>
      </x:c>
      <x:c r="K200" s="3" t="n">
        <x:v>69737420</x:v>
      </x:c>
      <x:c r="L200" s="3" t="n">
        <x:v>26301</x:v>
      </x:c>
      <x:c r="M200" s="3" t="n">
        <x:v>18833680</x:v>
      </x:c>
      <x:c r="N200" s="3" t="n">
        <x:v>20824640</x:v>
      </x:c>
      <x:c r="O200" s="3" t="n">
        <x:v>20908752</x:v>
      </x:c>
      <x:c r="P200" s="3" t="n">
        <x:v>20908752</x:v>
      </x:c>
      <x:c r="Q200" s="3" t="n">
        <x:v>16152384</x:v>
      </x:c>
      <x:c r="R200" s="3" t="n">
        <x:v>26310656</x:v>
      </x:c>
      <x:c r="S200" s="3" t="n">
        <x:v>2640208</x:v>
      </x:c>
      <x:c r="T200" s="2" t="str">
        <x:v>4/3/4</x:v>
      </x:c>
      <x:c r="U200" s="2" t="str">
        <x:v>results/formal_rho_fixed/C2_rho_r0_zipf09_N4096_B64_seed104.json</x:v>
      </x:c>
      <x:c r="V200" s="2" t="str">
        <x:v>787dd9b864ced3db8a83fbdf16dc082e4aaf1e9bd96aee571ad9fb6da832bcc7</x:v>
      </x:c>
    </x:row>
    <x:row r="201" ht="22" customHeight="1">
      <x:c r="A201" s="2" t="str">
        <x:v>C2_rho_r0_zipf09_N4096_B64_seed105</x:v>
      </x:c>
      <x:c r="B201" s="2" t="str">
        <x:v>rho</x:v>
      </x:c>
      <x:c r="C201" s="2" t="str">
        <x:v>zipf09</x:v>
      </x:c>
      <x:c r="D201" s="2" t="str">
        <x:v>r0</x:v>
      </x:c>
      <x:c r="E201" s="3" t="n">
        <x:v>105</x:v>
      </x:c>
      <x:c r="F201" s="3" t="n">
        <x:v>4096</x:v>
      </x:c>
      <x:c r="G201" s="3" t="n">
        <x:v>64</x:v>
      </x:c>
      <x:c r="H201" s="3" t="n">
        <x:v>4096</x:v>
      </x:c>
      <x:c r="I201" s="3" t="n">
        <x:v>120689056</x:v>
      </x:c>
      <x:c r="J201" s="3" t="n">
        <x:v>54211472</x:v>
      </x:c>
      <x:c r="K201" s="3" t="n">
        <x:v>66477584</x:v>
      </x:c>
      <x:c r="L201" s="3" t="n">
        <x:v>25041</x:v>
      </x:c>
      <x:c r="M201" s="3" t="n">
        <x:v>17950800</x:v>
      </x:c>
      <x:c r="N201" s="3" t="n">
        <x:v>19838720</x:v>
      </x:c>
      <x:c r="O201" s="3" t="n">
        <x:v>19945308</x:v>
      </x:c>
      <x:c r="P201" s="3" t="n">
        <x:v>19945308</x:v>
      </x:c>
      <x:c r="Q201" s="3" t="n">
        <x:v>15413888</x:v>
      </x:c>
      <x:c r="R201" s="3" t="n">
        <x:v>25079808</x:v>
      </x:c>
      <x:c r="S201" s="3" t="n">
        <x:v>2515224</x:v>
      </x:c>
      <x:c r="T201" s="2" t="str">
        <x:v>4/3/4</x:v>
      </x:c>
      <x:c r="U201" s="2" t="str">
        <x:v>results/formal_rho_fixed/C2_rho_r0_zipf09_N4096_B64_seed105.json</x:v>
      </x:c>
      <x:c r="V201" s="2" t="str">
        <x:v>048c8c68dc399ef824ca7586149c5ecd925d0d468720ad448a074c2bde936474</x:v>
      </x:c>
    </x:row>
    <x:row r="202" ht="22" customHeight="1">
      <x:c r="A202" s="2" t="str">
        <x:v>C2_rho_ring_hot90_N4096_B64_seed101</x:v>
      </x:c>
      <x:c r="B202" s="2" t="str">
        <x:v>rho</x:v>
      </x:c>
      <x:c r="C202" s="2" t="str">
        <x:v>hot90</x:v>
      </x:c>
      <x:c r="D202" s="2" t="str">
        <x:v>ring</x:v>
      </x:c>
      <x:c r="E202" s="3" t="n">
        <x:v>101</x:v>
      </x:c>
      <x:c r="F202" s="3" t="n">
        <x:v>4096</x:v>
      </x:c>
      <x:c r="G202" s="3" t="n">
        <x:v>64</x:v>
      </x:c>
      <x:c r="H202" s="3" t="n">
        <x:v>4096</x:v>
      </x:c>
      <x:c r="I202" s="3" t="n">
        <x:v>38303040</x:v>
      </x:c>
      <x:c r="J202" s="3" t="n">
        <x:v>17486384</x:v>
      </x:c>
      <x:c r="K202" s="3" t="n">
        <x:v>20816656</x:v>
      </x:c>
      <x:c r="L202" s="3" t="n">
        <x:v>7038</x:v>
      </x:c>
      <x:c r="M202" s="3" t="n">
        <x:v>5531680</x:v>
      </x:c>
      <x:c r="N202" s="3" t="n">
        <x:v>5954560</x:v>
      </x:c>
      <x:c r="O202" s="3" t="n">
        <x:v>6483480</x:v>
      </x:c>
      <x:c r="P202" s="3" t="n">
        <x:v>6483480</x:v>
      </x:c>
      <x:c r="Q202" s="3" t="n">
        <x:v>5217856</x:v>
      </x:c>
      <x:c r="R202" s="3" t="n">
        <x:v>7890688</x:v>
      </x:c>
      <x:c r="S202" s="3" t="n">
        <x:v>741296</x:v>
      </x:c>
      <x:c r="T202" s="2" t="str">
        <x:v>4/3/4</x:v>
      </x:c>
      <x:c r="U202" s="2" t="str">
        <x:v>results/formal_rho_fixed/C2_rho_ring_hot90_N4096_B64_seed101.json</x:v>
      </x:c>
      <x:c r="V202" s="2" t="str">
        <x:v>99270c644d2957c0824a66f8f02aca8dd8ca17a9b4761674300cb55ced8c7457</x:v>
      </x:c>
    </x:row>
    <x:row r="203" ht="22" customHeight="1">
      <x:c r="A203" s="2" t="str">
        <x:v>C2_rho_ring_hot90_N4096_B64_seed102</x:v>
      </x:c>
      <x:c r="B203" s="2" t="str">
        <x:v>rho</x:v>
      </x:c>
      <x:c r="C203" s="2" t="str">
        <x:v>hot90</x:v>
      </x:c>
      <x:c r="D203" s="2" t="str">
        <x:v>ring</x:v>
      </x:c>
      <x:c r="E203" s="3" t="n">
        <x:v>102</x:v>
      </x:c>
      <x:c r="F203" s="3" t="n">
        <x:v>4096</x:v>
      </x:c>
      <x:c r="G203" s="3" t="n">
        <x:v>64</x:v>
      </x:c>
      <x:c r="H203" s="3" t="n">
        <x:v>4096</x:v>
      </x:c>
      <x:c r="I203" s="3" t="n">
        <x:v>38454928</x:v>
      </x:c>
      <x:c r="J203" s="3" t="n">
        <x:v>17562188</x:v>
      </x:c>
      <x:c r="K203" s="3" t="n">
        <x:v>20892740</x:v>
      </x:c>
      <x:c r="L203" s="3" t="n">
        <x:v>7068</x:v>
      </x:c>
      <x:c r="M203" s="3" t="n">
        <x:v>5553360</x:v>
      </x:c>
      <x:c r="N203" s="3" t="n">
        <x:v>5974880</x:v>
      </x:c>
      <x:c r="O203" s="3" t="n">
        <x:v>6511116</x:v>
      </x:c>
      <x:c r="P203" s="3" t="n">
        <x:v>6511116</x:v>
      </x:c>
      <x:c r="Q203" s="3" t="n">
        <x:v>5243264</x:v>
      </x:c>
      <x:c r="R203" s="3" t="n">
        <x:v>7916736</x:v>
      </x:c>
      <x:c r="S203" s="3" t="n">
        <x:v>744456</x:v>
      </x:c>
      <x:c r="T203" s="2" t="str">
        <x:v>4/3/4</x:v>
      </x:c>
      <x:c r="U203" s="2" t="str">
        <x:v>results/formal_rho_fixed/C2_rho_ring_hot90_N4096_B64_seed102.json</x:v>
      </x:c>
      <x:c r="V203" s="2" t="str">
        <x:v>5b43a84a49f93d32a228a544dacc4b73e7ae6dc72bac72eee1dcd535b8407dcf</x:v>
      </x:c>
    </x:row>
    <x:row r="204" ht="22" customHeight="1">
      <x:c r="A204" s="2" t="str">
        <x:v>C2_rho_ring_hot90_N4096_B64_seed103</x:v>
      </x:c>
      <x:c r="B204" s="2" t="str">
        <x:v>rho</x:v>
      </x:c>
      <x:c r="C204" s="2" t="str">
        <x:v>hot90</x:v>
      </x:c>
      <x:c r="D204" s="2" t="str">
        <x:v>ring</x:v>
      </x:c>
      <x:c r="E204" s="3" t="n">
        <x:v>103</x:v>
      </x:c>
      <x:c r="F204" s="3" t="n">
        <x:v>4096</x:v>
      </x:c>
      <x:c r="G204" s="3" t="n">
        <x:v>64</x:v>
      </x:c>
      <x:c r="H204" s="3" t="n">
        <x:v>4096</x:v>
      </x:c>
      <x:c r="I204" s="3" t="n">
        <x:v>38340176</x:v>
      </x:c>
      <x:c r="J204" s="3" t="n">
        <x:v>17494936</x:v>
      </x:c>
      <x:c r="K204" s="3" t="n">
        <x:v>20845240</x:v>
      </x:c>
      <x:c r="L204" s="3" t="n">
        <x:v>7041</x:v>
      </x:c>
      <x:c r="M204" s="3" t="n">
        <x:v>5536320</x:v>
      </x:c>
      <x:c r="N204" s="3" t="n">
        <x:v>5964160</x:v>
      </x:c>
      <x:c r="O204" s="3" t="n">
        <x:v>6486132</x:v>
      </x:c>
      <x:c r="P204" s="3" t="n">
        <x:v>6486132</x:v>
      </x:c>
      <x:c r="Q204" s="3" t="n">
        <x:v>5219008</x:v>
      </x:c>
      <x:c r="R204" s="3" t="n">
        <x:v>7906752</x:v>
      </x:c>
      <x:c r="S204" s="3" t="n">
        <x:v>741672</x:v>
      </x:c>
      <x:c r="T204" s="2" t="str">
        <x:v>4/3/4</x:v>
      </x:c>
      <x:c r="U204" s="2" t="str">
        <x:v>results/formal_rho_fixed/C2_rho_ring_hot90_N4096_B64_seed103.json</x:v>
      </x:c>
      <x:c r="V204" s="2" t="str">
        <x:v>d529bda09a74c527e3bda4370c5174321e94bcb78a06bced22575d0d06f9f1a4</x:v>
      </x:c>
    </x:row>
    <x:row r="205" ht="22" customHeight="1">
      <x:c r="A205" s="2" t="str">
        <x:v>C2_rho_ring_hot90_N4096_B64_seed104</x:v>
      </x:c>
      <x:c r="B205" s="2" t="str">
        <x:v>rho</x:v>
      </x:c>
      <x:c r="C205" s="2" t="str">
        <x:v>hot90</x:v>
      </x:c>
      <x:c r="D205" s="2" t="str">
        <x:v>ring</x:v>
      </x:c>
      <x:c r="E205" s="3" t="n">
        <x:v>104</x:v>
      </x:c>
      <x:c r="F205" s="3" t="n">
        <x:v>4096</x:v>
      </x:c>
      <x:c r="G205" s="3" t="n">
        <x:v>64</x:v>
      </x:c>
      <x:c r="H205" s="3" t="n">
        <x:v>4096</x:v>
      </x:c>
      <x:c r="I205" s="3" t="n">
        <x:v>38804032</x:v>
      </x:c>
      <x:c r="J205" s="3" t="n">
        <x:v>17699440</x:v>
      </x:c>
      <x:c r="K205" s="3" t="n">
        <x:v>21104592</x:v>
      </x:c>
      <x:c r="L205" s="3" t="n">
        <x:v>7122</x:v>
      </x:c>
      <x:c r="M205" s="3" t="n">
        <x:v>5602720</x:v>
      </x:c>
      <x:c r="N205" s="3" t="n">
        <x:v>6040320</x:v>
      </x:c>
      <x:c r="O205" s="3" t="n">
        <x:v>6560712</x:v>
      </x:c>
      <x:c r="P205" s="3" t="n">
        <x:v>6560712</x:v>
      </x:c>
      <x:c r="Q205" s="3" t="n">
        <x:v>5279616</x:v>
      </x:c>
      <x:c r="R205" s="3" t="n">
        <x:v>8009728</x:v>
      </x:c>
      <x:c r="S205" s="3" t="n">
        <x:v>750224</x:v>
      </x:c>
      <x:c r="T205" s="2" t="str">
        <x:v>4/3/4</x:v>
      </x:c>
      <x:c r="U205" s="2" t="str">
        <x:v>results/formal_rho_fixed/C2_rho_ring_hot90_N4096_B64_seed104.json</x:v>
      </x:c>
      <x:c r="V205" s="2" t="str">
        <x:v>2096a0184466757682592e5f0c2fe8bf1b651f3104ce16b11a141105970d4043</x:v>
      </x:c>
    </x:row>
    <x:row r="206" ht="22" customHeight="1">
      <x:c r="A206" s="2" t="str">
        <x:v>C2_rho_ring_hot90_N4096_B64_seed105</x:v>
      </x:c>
      <x:c r="B206" s="2" t="str">
        <x:v>rho</x:v>
      </x:c>
      <x:c r="C206" s="2" t="str">
        <x:v>hot90</x:v>
      </x:c>
      <x:c r="D206" s="2" t="str">
        <x:v>ring</x:v>
      </x:c>
      <x:c r="E206" s="3" t="n">
        <x:v>105</x:v>
      </x:c>
      <x:c r="F206" s="3" t="n">
        <x:v>4096</x:v>
      </x:c>
      <x:c r="G206" s="3" t="n">
        <x:v>64</x:v>
      </x:c>
      <x:c r="H206" s="3" t="n">
        <x:v>4096</x:v>
      </x:c>
      <x:c r="I206" s="3" t="n">
        <x:v>38810736</x:v>
      </x:c>
      <x:c r="J206" s="3" t="n">
        <x:v>17704544</x:v>
      </x:c>
      <x:c r="K206" s="3" t="n">
        <x:v>21106192</x:v>
      </x:c>
      <x:c r="L206" s="3" t="n">
        <x:v>7122</x:v>
      </x:c>
      <x:c r="M206" s="3" t="n">
        <x:v>5602960</x:v>
      </x:c>
      <x:c r="N206" s="3" t="n">
        <x:v>6040960</x:v>
      </x:c>
      <x:c r="O206" s="3" t="n">
        <x:v>6560712</x:v>
      </x:c>
      <x:c r="P206" s="3" t="n">
        <x:v>6560712</x:v>
      </x:c>
      <x:c r="Q206" s="3" t="n">
        <x:v>5284480</x:v>
      </x:c>
      <x:c r="R206" s="3" t="n">
        <x:v>8010688</x:v>
      </x:c>
      <x:c r="S206" s="3" t="n">
        <x:v>750224</x:v>
      </x:c>
      <x:c r="T206" s="2" t="str">
        <x:v>4/3/4</x:v>
      </x:c>
      <x:c r="U206" s="2" t="str">
        <x:v>results/formal_rho_fixed/C2_rho_ring_hot90_N4096_B64_seed105.json</x:v>
      </x:c>
      <x:c r="V206" s="2" t="str">
        <x:v>b4acbf65a37d932012c7bfa323dfe7d645b9e28a920b787d85df4895447aecdc</x:v>
      </x:c>
    </x:row>
    <x:row r="207" ht="22" customHeight="1">
      <x:c r="A207" s="2" t="str">
        <x:v>C2_rho_ring_scan_N4096_B64_seed101</x:v>
      </x:c>
      <x:c r="B207" s="2" t="str">
        <x:v>rho</x:v>
      </x:c>
      <x:c r="C207" s="2" t="str">
        <x:v>scan</x:v>
      </x:c>
      <x:c r="D207" s="2" t="str">
        <x:v>ring</x:v>
      </x:c>
      <x:c r="E207" s="3" t="n">
        <x:v>101</x:v>
      </x:c>
      <x:c r="F207" s="3" t="n">
        <x:v>4096</x:v>
      </x:c>
      <x:c r="G207" s="3" t="n">
        <x:v>64</x:v>
      </x:c>
      <x:c r="H207" s="3" t="n">
        <x:v>4096</x:v>
      </x:c>
      <x:c r="I207" s="3" t="n">
        <x:v>223269152</x:v>
      </x:c>
      <x:c r="J207" s="3" t="n">
        <x:v>101827992</x:v>
      </x:c>
      <x:c r="K207" s="3" t="n">
        <x:v>121441160</x:v>
      </x:c>
      <x:c r="L207" s="3" t="n">
        <x:v>40959</x:v>
      </x:c>
      <x:c r="M207" s="3" t="n">
        <x:v>32234480</x:v>
      </x:c>
      <x:c r="N207" s="3" t="n">
        <x:v>34768640</x:v>
      </x:c>
      <x:c r="O207" s="3" t="n">
        <x:v>37731468</x:v>
      </x:c>
      <x:c r="P207" s="3" t="n">
        <x:v>37731468</x:v>
      </x:c>
      <x:c r="Q207" s="3" t="n">
        <x:v>30387520</x:v>
      </x:c>
      <x:c r="R207" s="3" t="n">
        <x:v>46101248</x:v>
      </x:c>
      <x:c r="S207" s="3" t="n">
        <x:v>4314328</x:v>
      </x:c>
      <x:c r="T207" s="2" t="str">
        <x:v>4/3/4</x:v>
      </x:c>
      <x:c r="U207" s="2" t="str">
        <x:v>results/formal_rho_fixed/C2_rho_ring_scan_N4096_B64_seed101.json</x:v>
      </x:c>
      <x:c r="V207" s="2" t="str">
        <x:v>8ff13519bf77c7b13018a3a628a313e447325ccc70d0a5c2ce2a1420555ec306</x:v>
      </x:c>
    </x:row>
    <x:row r="208" ht="22" customHeight="1">
      <x:c r="A208" s="2" t="str">
        <x:v>C2_rho_ring_scan_N4096_B64_seed102</x:v>
      </x:c>
      <x:c r="B208" s="2" t="str">
        <x:v>rho</x:v>
      </x:c>
      <x:c r="C208" s="2" t="str">
        <x:v>scan</x:v>
      </x:c>
      <x:c r="D208" s="2" t="str">
        <x:v>ring</x:v>
      </x:c>
      <x:c r="E208" s="3" t="n">
        <x:v>102</x:v>
      </x:c>
      <x:c r="F208" s="3" t="n">
        <x:v>4096</x:v>
      </x:c>
      <x:c r="G208" s="3" t="n">
        <x:v>64</x:v>
      </x:c>
      <x:c r="H208" s="3" t="n">
        <x:v>4096</x:v>
      </x:c>
      <x:c r="I208" s="3" t="n">
        <x:v>223487216</x:v>
      </x:c>
      <x:c r="J208" s="3" t="n">
        <x:v>101862056</x:v>
      </x:c>
      <x:c r="K208" s="3" t="n">
        <x:v>121625160</x:v>
      </x:c>
      <x:c r="L208" s="3" t="n">
        <x:v>40959</x:v>
      </x:c>
      <x:c r="M208" s="3" t="n">
        <x:v>32262080</x:v>
      </x:c>
      <x:c r="N208" s="3" t="n">
        <x:v>34842240</x:v>
      </x:c>
      <x:c r="O208" s="3" t="n">
        <x:v>37731468</x:v>
      </x:c>
      <x:c r="P208" s="3" t="n">
        <x:v>37731468</x:v>
      </x:c>
      <x:c r="Q208" s="3" t="n">
        <x:v>30393984</x:v>
      </x:c>
      <x:c r="R208" s="3" t="n">
        <x:v>46211648</x:v>
      </x:c>
      <x:c r="S208" s="3" t="n">
        <x:v>4314328</x:v>
      </x:c>
      <x:c r="T208" s="2" t="str">
        <x:v>4/3/4</x:v>
      </x:c>
      <x:c r="U208" s="2" t="str">
        <x:v>results/formal_rho_fixed/C2_rho_ring_scan_N4096_B64_seed102.json</x:v>
      </x:c>
      <x:c r="V208" s="2" t="str">
        <x:v>24323598b5bb175f2a9dcd6af7564e20451126b1d17f058d1556629c08807f12</x:v>
      </x:c>
    </x:row>
    <x:row r="209" ht="22" customHeight="1">
      <x:c r="A209" s="2" t="str">
        <x:v>C2_rho_ring_scan_N4096_B64_seed103</x:v>
      </x:c>
      <x:c r="B209" s="2" t="str">
        <x:v>rho</x:v>
      </x:c>
      <x:c r="C209" s="2" t="str">
        <x:v>scan</x:v>
      </x:c>
      <x:c r="D209" s="2" t="str">
        <x:v>ring</x:v>
      </x:c>
      <x:c r="E209" s="3" t="n">
        <x:v>103</x:v>
      </x:c>
      <x:c r="F209" s="3" t="n">
        <x:v>4096</x:v>
      </x:c>
      <x:c r="G209" s="3" t="n">
        <x:v>64</x:v>
      </x:c>
      <x:c r="H209" s="3" t="n">
        <x:v>4096</x:v>
      </x:c>
      <x:c r="I209" s="3" t="n">
        <x:v>223315824</x:v>
      </x:c>
      <x:c r="J209" s="3" t="n">
        <x:v>101825064</x:v>
      </x:c>
      <x:c r="K209" s="3" t="n">
        <x:v>121490760</x:v>
      </x:c>
      <x:c r="L209" s="3" t="n">
        <x:v>40959</x:v>
      </x:c>
      <x:c r="M209" s="3" t="n">
        <x:v>32241920</x:v>
      </x:c>
      <x:c r="N209" s="3" t="n">
        <x:v>34788480</x:v>
      </x:c>
      <x:c r="O209" s="3" t="n">
        <x:v>37731468</x:v>
      </x:c>
      <x:c r="P209" s="3" t="n">
        <x:v>37731468</x:v>
      </x:c>
      <x:c r="Q209" s="3" t="n">
        <x:v>30377152</x:v>
      </x:c>
      <x:c r="R209" s="3" t="n">
        <x:v>46131008</x:v>
      </x:c>
      <x:c r="S209" s="3" t="n">
        <x:v>4314328</x:v>
      </x:c>
      <x:c r="T209" s="2" t="str">
        <x:v>4/3/4</x:v>
      </x:c>
      <x:c r="U209" s="2" t="str">
        <x:v>results/formal_rho_fixed/C2_rho_ring_scan_N4096_B64_seed103.json</x:v>
      </x:c>
      <x:c r="V209" s="2" t="str">
        <x:v>f25bc206573f73a46ddda008eaea90e56a5b1bf12615d80f1a7be82fa30718f8</x:v>
      </x:c>
    </x:row>
    <x:row r="210" ht="22" customHeight="1">
      <x:c r="A210" s="2" t="str">
        <x:v>C2_rho_ring_scan_N4096_B64_seed104</x:v>
      </x:c>
      <x:c r="B210" s="2" t="str">
        <x:v>rho</x:v>
      </x:c>
      <x:c r="C210" s="2" t="str">
        <x:v>scan</x:v>
      </x:c>
      <x:c r="D210" s="2" t="str">
        <x:v>ring</x:v>
      </x:c>
      <x:c r="E210" s="3" t="n">
        <x:v>104</x:v>
      </x:c>
      <x:c r="F210" s="3" t="n">
        <x:v>4096</x:v>
      </x:c>
      <x:c r="G210" s="3" t="n">
        <x:v>64</x:v>
      </x:c>
      <x:c r="H210" s="3" t="n">
        <x:v>4096</x:v>
      </x:c>
      <x:c r="I210" s="3" t="n">
        <x:v>223341616</x:v>
      </x:c>
      <x:c r="J210" s="3" t="n">
        <x:v>101831656</x:v>
      </x:c>
      <x:c r="K210" s="3" t="n">
        <x:v>121509960</x:v>
      </x:c>
      <x:c r="L210" s="3" t="n">
        <x:v>40959</x:v>
      </x:c>
      <x:c r="M210" s="3" t="n">
        <x:v>32244800</x:v>
      </x:c>
      <x:c r="N210" s="3" t="n">
        <x:v>34796160</x:v>
      </x:c>
      <x:c r="O210" s="3" t="n">
        <x:v>37731468</x:v>
      </x:c>
      <x:c r="P210" s="3" t="n">
        <x:v>37731468</x:v>
      </x:c>
      <x:c r="Q210" s="3" t="n">
        <x:v>30380864</x:v>
      </x:c>
      <x:c r="R210" s="3" t="n">
        <x:v>46142528</x:v>
      </x:c>
      <x:c r="S210" s="3" t="n">
        <x:v>4314328</x:v>
      </x:c>
      <x:c r="T210" s="2" t="str">
        <x:v>4/3/4</x:v>
      </x:c>
      <x:c r="U210" s="2" t="str">
        <x:v>results/formal_rho_fixed/C2_rho_ring_scan_N4096_B64_seed104.json</x:v>
      </x:c>
      <x:c r="V210" s="2" t="str">
        <x:v>039fa2be965c3d45c366450eb86617966773d9aa82a1681f35f63ac6ce4e5f0a</x:v>
      </x:c>
    </x:row>
    <x:row r="211" ht="22" customHeight="1">
      <x:c r="A211" s="2" t="str">
        <x:v>C2_rho_ring_scan_N4096_B64_seed105</x:v>
      </x:c>
      <x:c r="B211" s="2" t="str">
        <x:v>rho</x:v>
      </x:c>
      <x:c r="C211" s="2" t="str">
        <x:v>scan</x:v>
      </x:c>
      <x:c r="D211" s="2" t="str">
        <x:v>ring</x:v>
      </x:c>
      <x:c r="E211" s="3" t="n">
        <x:v>105</x:v>
      </x:c>
      <x:c r="F211" s="3" t="n">
        <x:v>4096</x:v>
      </x:c>
      <x:c r="G211" s="3" t="n">
        <x:v>64</x:v>
      </x:c>
      <x:c r="H211" s="3" t="n">
        <x:v>4096</x:v>
      </x:c>
      <x:c r="I211" s="3" t="n">
        <x:v>223222768</x:v>
      </x:c>
      <x:c r="J211" s="3" t="n">
        <x:v>101821608</x:v>
      </x:c>
      <x:c r="K211" s="3" t="n">
        <x:v>121401160</x:v>
      </x:c>
      <x:c r="L211" s="3" t="n">
        <x:v>40959</x:v>
      </x:c>
      <x:c r="M211" s="3" t="n">
        <x:v>32228480</x:v>
      </x:c>
      <x:c r="N211" s="3" t="n">
        <x:v>34752640</x:v>
      </x:c>
      <x:c r="O211" s="3" t="n">
        <x:v>37731468</x:v>
      </x:c>
      <x:c r="P211" s="3" t="n">
        <x:v>37731468</x:v>
      </x:c>
      <x:c r="Q211" s="3" t="n">
        <x:v>30387136</x:v>
      </x:c>
      <x:c r="R211" s="3" t="n">
        <x:v>46077248</x:v>
      </x:c>
      <x:c r="S211" s="3" t="n">
        <x:v>4314328</x:v>
      </x:c>
      <x:c r="T211" s="2" t="str">
        <x:v>4/3/4</x:v>
      </x:c>
      <x:c r="U211" s="2" t="str">
        <x:v>results/formal_rho_fixed/C2_rho_ring_scan_N4096_B64_seed105.json</x:v>
      </x:c>
      <x:c r="V211" s="2" t="str">
        <x:v>090325cc202f5cf3a3fb2f5d252168e6ca855a2bcce12a00e6b8a1ffdd5f1253</x:v>
      </x:c>
    </x:row>
    <x:row r="212" ht="22" customHeight="1">
      <x:c r="A212" s="2" t="str">
        <x:v>C2_rho_ring_uniform_N4096_B64_seed101</x:v>
      </x:c>
      <x:c r="B212" s="2" t="str">
        <x:v>rho</x:v>
      </x:c>
      <x:c r="C212" s="2" t="str">
        <x:v>uniform</x:v>
      </x:c>
      <x:c r="D212" s="2" t="str">
        <x:v>ring</x:v>
      </x:c>
      <x:c r="E212" s="3" t="n">
        <x:v>101</x:v>
      </x:c>
      <x:c r="F212" s="3" t="n">
        <x:v>4096</x:v>
      </x:c>
      <x:c r="G212" s="3" t="n">
        <x:v>64</x:v>
      </x:c>
      <x:c r="H212" s="3" t="n">
        <x:v>4096</x:v>
      </x:c>
      <x:c r="I212" s="3" t="n">
        <x:v>215010608</x:v>
      </x:c>
      <x:c r="J212" s="3" t="n">
        <x:v>98033948</x:v>
      </x:c>
      <x:c r="K212" s="3" t="n">
        <x:v>116976660</x:v>
      </x:c>
      <x:c r="L212" s="3" t="n">
        <x:v>39432</x:v>
      </x:c>
      <x:c r="M212" s="3" t="n">
        <x:v>31041520</x:v>
      </x:c>
      <x:c r="N212" s="3" t="n">
        <x:v>33496800</x:v>
      </x:c>
      <x:c r="O212" s="3" t="n">
        <x:v>36324684</x:v>
      </x:c>
      <x:c r="P212" s="3" t="n">
        <x:v>36324684</x:v>
      </x:c>
      <x:c r="Q212" s="3" t="n">
        <x:v>29248192</x:v>
      </x:c>
      <x:c r="R212" s="3" t="n">
        <x:v>44421184</x:v>
      </x:c>
      <x:c r="S212" s="3" t="n">
        <x:v>4153544</x:v>
      </x:c>
      <x:c r="T212" s="2" t="str">
        <x:v>4/3/4</x:v>
      </x:c>
      <x:c r="U212" s="2" t="str">
        <x:v>results/formal_rho_fixed/C2_rho_ring_uniform_N4096_B64_seed101.json</x:v>
      </x:c>
      <x:c r="V212" s="2" t="str">
        <x:v>7ba30b9f501dd2b98adf71db8b893ee5e9ffb00b1242b53f247480a79a43dd90</x:v>
      </x:c>
    </x:row>
    <x:row r="213" ht="22" customHeight="1">
      <x:c r="A213" s="2" t="str">
        <x:v>C2_rho_ring_uniform_N4096_B64_seed102</x:v>
      </x:c>
      <x:c r="B213" s="2" t="str">
        <x:v>rho</x:v>
      </x:c>
      <x:c r="C213" s="2" t="str">
        <x:v>uniform</x:v>
      </x:c>
      <x:c r="D213" s="2" t="str">
        <x:v>ring</x:v>
      </x:c>
      <x:c r="E213" s="3" t="n">
        <x:v>102</x:v>
      </x:c>
      <x:c r="F213" s="3" t="n">
        <x:v>4096</x:v>
      </x:c>
      <x:c r="G213" s="3" t="n">
        <x:v>64</x:v>
      </x:c>
      <x:c r="H213" s="3" t="n">
        <x:v>4096</x:v>
      </x:c>
      <x:c r="I213" s="3" t="n">
        <x:v>214583168</x:v>
      </x:c>
      <x:c r="J213" s="3" t="n">
        <x:v>97833860</x:v>
      </x:c>
      <x:c r="K213" s="3" t="n">
        <x:v>116749308</x:v>
      </x:c>
      <x:c r="L213" s="3" t="n">
        <x:v>39351</x:v>
      </x:c>
      <x:c r="M213" s="3" t="n">
        <x:v>30979920</x:v>
      </x:c>
      <x:c r="N213" s="3" t="n">
        <x:v>33433440</x:v>
      </x:c>
      <x:c r="O213" s="3" t="n">
        <x:v>36250104</x:v>
      </x:c>
      <x:c r="P213" s="3" t="n">
        <x:v>36250104</x:v>
      </x:c>
      <x:c r="Q213" s="3" t="n">
        <x:v>29187200</x:v>
      </x:c>
      <x:c r="R213" s="3" t="n">
        <x:v>44337408</x:v>
      </x:c>
      <x:c r="S213" s="3" t="n">
        <x:v>4144992</x:v>
      </x:c>
      <x:c r="T213" s="2" t="str">
        <x:v>4/3/4</x:v>
      </x:c>
      <x:c r="U213" s="2" t="str">
        <x:v>results/formal_rho_fixed/C2_rho_ring_uniform_N4096_B64_seed102.json</x:v>
      </x:c>
      <x:c r="V213" s="2" t="str">
        <x:v>4c64cb6fbb507b92047cfb97f86bcfe4672a12feaa1f81b026664c444502528e</x:v>
      </x:c>
    </x:row>
    <x:row r="214" ht="22" customHeight="1">
      <x:c r="A214" s="2" t="str">
        <x:v>C2_rho_ring_uniform_N4096_B64_seed103</x:v>
      </x:c>
      <x:c r="B214" s="2" t="str">
        <x:v>rho</x:v>
      </x:c>
      <x:c r="C214" s="2" t="str">
        <x:v>uniform</x:v>
      </x:c>
      <x:c r="D214" s="2" t="str">
        <x:v>ring</x:v>
      </x:c>
      <x:c r="E214" s="3" t="n">
        <x:v>103</x:v>
      </x:c>
      <x:c r="F214" s="3" t="n">
        <x:v>4096</x:v>
      </x:c>
      <x:c r="G214" s="3" t="n">
        <x:v>64</x:v>
      </x:c>
      <x:c r="H214" s="3" t="n">
        <x:v>4096</x:v>
      </x:c>
      <x:c r="I214" s="3" t="n">
        <x:v>214603936</x:v>
      </x:c>
      <x:c r="J214" s="3" t="n">
        <x:v>97836812</x:v>
      </x:c>
      <x:c r="K214" s="3" t="n">
        <x:v>116767124</x:v>
      </x:c>
      <x:c r="L214" s="3" t="n">
        <x:v>39348</x:v>
      </x:c>
      <x:c r="M214" s="3" t="n">
        <x:v>30982240</x:v>
      </x:c>
      <x:c r="N214" s="3" t="n">
        <x:v>33442400</x:v>
      </x:c>
      <x:c r="O214" s="3" t="n">
        <x:v>36247452</x:v>
      </x:c>
      <x:c r="P214" s="3" t="n">
        <x:v>36247452</x:v>
      </x:c>
      <x:c r="Q214" s="3" t="n">
        <x:v>29190592</x:v>
      </x:c>
      <x:c r="R214" s="3" t="n">
        <x:v>44349184</x:v>
      </x:c>
      <x:c r="S214" s="3" t="n">
        <x:v>4144616</x:v>
      </x:c>
      <x:c r="T214" s="2" t="str">
        <x:v>4/3/4</x:v>
      </x:c>
      <x:c r="U214" s="2" t="str">
        <x:v>results/formal_rho_fixed/C2_rho_ring_uniform_N4096_B64_seed103.json</x:v>
      </x:c>
      <x:c r="V214" s="2" t="str">
        <x:v>475270d5cc6d6e23a9efd600b1d0e3a6578a5ff123523ed75dae2be2fe38a5aa</x:v>
      </x:c>
    </x:row>
    <x:row r="215" ht="22" customHeight="1">
      <x:c r="A215" s="2" t="str">
        <x:v>C2_rho_ring_uniform_N4096_B64_seed104</x:v>
      </x:c>
      <x:c r="B215" s="2" t="str">
        <x:v>rho</x:v>
      </x:c>
      <x:c r="C215" s="2" t="str">
        <x:v>uniform</x:v>
      </x:c>
      <x:c r="D215" s="2" t="str">
        <x:v>ring</x:v>
      </x:c>
      <x:c r="E215" s="3" t="n">
        <x:v>104</x:v>
      </x:c>
      <x:c r="F215" s="3" t="n">
        <x:v>4096</x:v>
      </x:c>
      <x:c r="G215" s="3" t="n">
        <x:v>64</x:v>
      </x:c>
      <x:c r="H215" s="3" t="n">
        <x:v>4096</x:v>
      </x:c>
      <x:c r="I215" s="3" t="n">
        <x:v>214258864</x:v>
      </x:c>
      <x:c r="J215" s="3" t="n">
        <x:v>97677024</x:v>
      </x:c>
      <x:c r="K215" s="3" t="n">
        <x:v>116581840</x:v>
      </x:c>
      <x:c r="L215" s="3" t="n">
        <x:v>39282</x:v>
      </x:c>
      <x:c r="M215" s="3" t="n">
        <x:v>30930960</x:v>
      </x:c>
      <x:c r="N215" s="3" t="n">
        <x:v>33389440</x:v>
      </x:c>
      <x:c r="O215" s="3" t="n">
        <x:v>36186504</x:v>
      </x:c>
      <x:c r="P215" s="3" t="n">
        <x:v>36186504</x:v>
      </x:c>
      <x:c r="Q215" s="3" t="n">
        <x:v>29145408</x:v>
      </x:c>
      <x:c r="R215" s="3" t="n">
        <x:v>44282304</x:v>
      </x:c>
      <x:c r="S215" s="3" t="n">
        <x:v>4137744</x:v>
      </x:c>
      <x:c r="T215" s="2" t="str">
        <x:v>4/3/4</x:v>
      </x:c>
      <x:c r="U215" s="2" t="str">
        <x:v>results/formal_rho_fixed/C2_rho_ring_uniform_N4096_B64_seed104.json</x:v>
      </x:c>
      <x:c r="V215" s="2" t="str">
        <x:v>e3a0fa1f3517e345cc1c30659abc4e9b145cddb552beff414db92fb03d114eca</x:v>
      </x:c>
    </x:row>
    <x:row r="216" ht="22" customHeight="1">
      <x:c r="A216" s="2" t="str">
        <x:v>C2_rho_ring_uniform_N4096_B64_seed105</x:v>
      </x:c>
      <x:c r="B216" s="2" t="str">
        <x:v>rho</x:v>
      </x:c>
      <x:c r="C216" s="2" t="str">
        <x:v>uniform</x:v>
      </x:c>
      <x:c r="D216" s="2" t="str">
        <x:v>ring</x:v>
      </x:c>
      <x:c r="E216" s="3" t="n">
        <x:v>105</x:v>
      </x:c>
      <x:c r="F216" s="3" t="n">
        <x:v>4096</x:v>
      </x:c>
      <x:c r="G216" s="3" t="n">
        <x:v>64</x:v>
      </x:c>
      <x:c r="H216" s="3" t="n">
        <x:v>4096</x:v>
      </x:c>
      <x:c r="I216" s="3" t="n">
        <x:v>214225040</x:v>
      </x:c>
      <x:c r="J216" s="3" t="n">
        <x:v>97663784</x:v>
      </x:c>
      <x:c r="K216" s="3" t="n">
        <x:v>116561256</x:v>
      </x:c>
      <x:c r="L216" s="3" t="n">
        <x:v>39279</x:v>
      </x:c>
      <x:c r="M216" s="3" t="n">
        <x:v>30927520</x:v>
      </x:c>
      <x:c r="N216" s="3" t="n">
        <x:v>33383040</x:v>
      </x:c>
      <x:c r="O216" s="3" t="n">
        <x:v>36183852</x:v>
      </x:c>
      <x:c r="P216" s="3" t="n">
        <x:v>36183852</x:v>
      </x:c>
      <x:c r="Q216" s="3" t="n">
        <x:v>29138368</x:v>
      </x:c>
      <x:c r="R216" s="3" t="n">
        <x:v>44271040</x:v>
      </x:c>
      <x:c r="S216" s="3" t="n">
        <x:v>4137368</x:v>
      </x:c>
      <x:c r="T216" s="2" t="str">
        <x:v>4/3/4</x:v>
      </x:c>
      <x:c r="U216" s="2" t="str">
        <x:v>results/formal_rho_fixed/C2_rho_ring_uniform_N4096_B64_seed105.json</x:v>
      </x:c>
      <x:c r="V216" s="2" t="str">
        <x:v>6730d2c634eeddee9122d6b23befcf13fe50f6fe83b25218fa48ffc05c8e0354</x:v>
      </x:c>
    </x:row>
    <x:row r="217" ht="22" customHeight="1">
      <x:c r="A217" s="2" t="str">
        <x:v>C2_rho_ring_zipf09_N4096_B64_seed101</x:v>
      </x:c>
      <x:c r="B217" s="2" t="str">
        <x:v>rho</x:v>
      </x:c>
      <x:c r="C217" s="2" t="str">
        <x:v>zipf09</x:v>
      </x:c>
      <x:c r="D217" s="2" t="str">
        <x:v>ring</x:v>
      </x:c>
      <x:c r="E217" s="3" t="n">
        <x:v>101</x:v>
      </x:c>
      <x:c r="F217" s="3" t="n">
        <x:v>4096</x:v>
      </x:c>
      <x:c r="G217" s="3" t="n">
        <x:v>64</x:v>
      </x:c>
      <x:c r="H217" s="3" t="n">
        <x:v>4096</x:v>
      </x:c>
      <x:c r="I217" s="3" t="n">
        <x:v>140878352</x:v>
      </x:c>
      <x:c r="J217" s="3" t="n">
        <x:v>64259644</x:v>
      </x:c>
      <x:c r="K217" s="3" t="n">
        <x:v>76618708</x:v>
      </x:c>
      <x:c r="L217" s="3" t="n">
        <x:v>25851</x:v>
      </x:c>
      <x:c r="M217" s="3" t="n">
        <x:v>20340000</x:v>
      </x:c>
      <x:c r="N217" s="3" t="n">
        <x:v>21932320</x:v>
      </x:c>
      <x:c r="O217" s="3" t="n">
        <x:v>23813904</x:v>
      </x:c>
      <x:c r="P217" s="3" t="n">
        <x:v>23813904</x:v>
      </x:c>
      <x:c r="Q217" s="3" t="n">
        <x:v>19175104</x:v>
      </x:c>
      <x:c r="R217" s="3" t="n">
        <x:v>29080128</x:v>
      </x:c>
      <x:c r="S217" s="3" t="n">
        <x:v>2722992</x:v>
      </x:c>
      <x:c r="T217" s="2" t="str">
        <x:v>4/3/4</x:v>
      </x:c>
      <x:c r="U217" s="2" t="str">
        <x:v>results/formal_rho_fixed/C2_rho_ring_zipf09_N4096_B64_seed101.json</x:v>
      </x:c>
      <x:c r="V217" s="2" t="str">
        <x:v>207b46c239be305858e262e3a63f89f65c67b3d095ca41e3a811b529bbf06dd1</x:v>
      </x:c>
    </x:row>
    <x:row r="218" ht="22" customHeight="1">
      <x:c r="A218" s="2" t="str">
        <x:v>C2_rho_ring_zipf09_N4096_B64_seed102</x:v>
      </x:c>
      <x:c r="B218" s="2" t="str">
        <x:v>rho</x:v>
      </x:c>
      <x:c r="C218" s="2" t="str">
        <x:v>zipf09</x:v>
      </x:c>
      <x:c r="D218" s="2" t="str">
        <x:v>ring</x:v>
      </x:c>
      <x:c r="E218" s="3" t="n">
        <x:v>102</x:v>
      </x:c>
      <x:c r="F218" s="3" t="n">
        <x:v>4096</x:v>
      </x:c>
      <x:c r="G218" s="3" t="n">
        <x:v>64</x:v>
      </x:c>
      <x:c r="H218" s="3" t="n">
        <x:v>4096</x:v>
      </x:c>
      <x:c r="I218" s="3" t="n">
        <x:v>137174720</x:v>
      </x:c>
      <x:c r="J218" s="3" t="n">
        <x:v>62540444</x:v>
      </x:c>
      <x:c r="K218" s="3" t="n">
        <x:v>74634276</x:v>
      </x:c>
      <x:c r="L218" s="3" t="n">
        <x:v>25152</x:v>
      </x:c>
      <x:c r="M218" s="3" t="n">
        <x:v>19802880</x:v>
      </x:c>
      <x:c r="N218" s="3" t="n">
        <x:v>21373920</x:v>
      </x:c>
      <x:c r="O218" s="3" t="n">
        <x:v>23169948</x:v>
      </x:c>
      <x:c r="P218" s="3" t="n">
        <x:v>23169948</x:v>
      </x:c>
      <x:c r="Q218" s="3" t="n">
        <x:v>18662144</x:v>
      </x:c>
      <x:c r="R218" s="3" t="n">
        <x:v>28346496</x:v>
      </x:c>
      <x:c r="S218" s="3" t="n">
        <x:v>2649384</x:v>
      </x:c>
      <x:c r="T218" s="2" t="str">
        <x:v>4/3/4</x:v>
      </x:c>
      <x:c r="U218" s="2" t="str">
        <x:v>results/formal_rho_fixed/C2_rho_ring_zipf09_N4096_B64_seed102.json</x:v>
      </x:c>
      <x:c r="V218" s="2" t="str">
        <x:v>d554c3c7931271376279534008c118fce508fb09088fc85608b5e68b377eb76d</x:v>
      </x:c>
    </x:row>
    <x:row r="219" ht="22" customHeight="1">
      <x:c r="A219" s="2" t="str">
        <x:v>C2_rho_ring_zipf09_N4096_B64_seed103</x:v>
      </x:c>
      <x:c r="B219" s="2" t="str">
        <x:v>rho</x:v>
      </x:c>
      <x:c r="C219" s="2" t="str">
        <x:v>zipf09</x:v>
      </x:c>
      <x:c r="D219" s="2" t="str">
        <x:v>ring</x:v>
      </x:c>
      <x:c r="E219" s="3" t="n">
        <x:v>103</x:v>
      </x:c>
      <x:c r="F219" s="3" t="n">
        <x:v>4096</x:v>
      </x:c>
      <x:c r="G219" s="3" t="n">
        <x:v>64</x:v>
      </x:c>
      <x:c r="H219" s="3" t="n">
        <x:v>4096</x:v>
      </x:c>
      <x:c r="I219" s="3" t="n">
        <x:v>141153328</x:v>
      </x:c>
      <x:c r="J219" s="3" t="n">
        <x:v>64381536</x:v>
      </x:c>
      <x:c r="K219" s="3" t="n">
        <x:v>76771792</x:v>
      </x:c>
      <x:c r="L219" s="3" t="n">
        <x:v>25899</x:v>
      </x:c>
      <x:c r="M219" s="3" t="n">
        <x:v>20379840</x:v>
      </x:c>
      <x:c r="N219" s="3" t="n">
        <x:v>21977920</x:v>
      </x:c>
      <x:c r="O219" s="3" t="n">
        <x:v>23858196</x:v>
      </x:c>
      <x:c r="P219" s="3" t="n">
        <x:v>23858196</x:v>
      </x:c>
      <x:c r="Q219" s="3" t="n">
        <x:v>19211136</x:v>
      </x:c>
      <x:c r="R219" s="3" t="n">
        <x:v>29140032</x:v>
      </x:c>
      <x:c r="S219" s="3" t="n">
        <x:v>2728008</x:v>
      </x:c>
      <x:c r="T219" s="2" t="str">
        <x:v>4/3/4</x:v>
      </x:c>
      <x:c r="U219" s="2" t="str">
        <x:v>results/formal_rho_fixed/C2_rho_ring_zipf09_N4096_B64_seed103.json</x:v>
      </x:c>
      <x:c r="V219" s="2" t="str">
        <x:v>fccf678f530e99fdb56bd673026621fcee494ecb9ad559bb0d1fb6eb1c0cc5e6</x:v>
      </x:c>
    </x:row>
    <x:row r="220" ht="22" customHeight="1">
      <x:c r="A220" s="2" t="str">
        <x:v>C2_rho_ring_zipf09_N4096_B64_seed104</x:v>
      </x:c>
      <x:c r="B220" s="2" t="str">
        <x:v>rho</x:v>
      </x:c>
      <x:c r="C220" s="2" t="str">
        <x:v>zipf09</x:v>
      </x:c>
      <x:c r="D220" s="2" t="str">
        <x:v>ring</x:v>
      </x:c>
      <x:c r="E220" s="3" t="n">
        <x:v>104</x:v>
      </x:c>
      <x:c r="F220" s="3" t="n">
        <x:v>4096</x:v>
      </x:c>
      <x:c r="G220" s="3" t="n">
        <x:v>64</x:v>
      </x:c>
      <x:c r="H220" s="3" t="n">
        <x:v>4096</x:v>
      </x:c>
      <x:c r="I220" s="3" t="n">
        <x:v>143275312</x:v>
      </x:c>
      <x:c r="J220" s="3" t="n">
        <x:v>65372944</x:v>
      </x:c>
      <x:c r="K220" s="3" t="n">
        <x:v>77902368</x:v>
      </x:c>
      <x:c r="L220" s="3" t="n">
        <x:v>26301</x:v>
      </x:c>
      <x:c r="M220" s="3" t="n">
        <x:v>20686560</x:v>
      </x:c>
      <x:c r="N220" s="3" t="n">
        <x:v>22294080</x:v>
      </x:c>
      <x:c r="O220" s="3" t="n">
        <x:v>24228444</x:v>
      </x:c>
      <x:c r="P220" s="3" t="n">
        <x:v>24228444</x:v>
      </x:c>
      <x:c r="Q220" s="3" t="n">
        <x:v>19511104</x:v>
      </x:c>
      <x:c r="R220" s="3" t="n">
        <x:v>29556288</x:v>
      </x:c>
      <x:c r="S220" s="3" t="n">
        <x:v>2770392</x:v>
      </x:c>
      <x:c r="T220" s="2" t="str">
        <x:v>4/3/4</x:v>
      </x:c>
      <x:c r="U220" s="2" t="str">
        <x:v>results/formal_rho_fixed/C2_rho_ring_zipf09_N4096_B64_seed104.json</x:v>
      </x:c>
      <x:c r="V220" s="2" t="str">
        <x:v>07ab13a23645672c9464f4ac7b4acf8f287a506d5143aad8299893e4abb6a91d</x:v>
      </x:c>
    </x:row>
    <x:row r="221" ht="22" customHeight="1">
      <x:c r="A221" s="2" t="str">
        <x:v>C2_rho_ring_zipf09_N4096_B64_seed105</x:v>
      </x:c>
      <x:c r="B221" s="2" t="str">
        <x:v>rho</x:v>
      </x:c>
      <x:c r="C221" s="2" t="str">
        <x:v>zipf09</x:v>
      </x:c>
      <x:c r="D221" s="2" t="str">
        <x:v>ring</x:v>
      </x:c>
      <x:c r="E221" s="3" t="n">
        <x:v>105</x:v>
      </x:c>
      <x:c r="F221" s="3" t="n">
        <x:v>4096</x:v>
      </x:c>
      <x:c r="G221" s="3" t="n">
        <x:v>64</x:v>
      </x:c>
      <x:c r="H221" s="3" t="n">
        <x:v>4096</x:v>
      </x:c>
      <x:c r="I221" s="3" t="n">
        <x:v>136518160</x:v>
      </x:c>
      <x:c r="J221" s="3" t="n">
        <x:v>62252920</x:v>
      </x:c>
      <x:c r="K221" s="3" t="n">
        <x:v>74265240</x:v>
      </x:c>
      <x:c r="L221" s="3" t="n">
        <x:v>25041</x:v>
      </x:c>
      <x:c r="M221" s="3" t="n">
        <x:v>19709760</x:v>
      </x:c>
      <x:c r="N221" s="3" t="n">
        <x:v>21264000</x:v>
      </x:c>
      <x:c r="O221" s="3" t="n">
        <x:v>23067732</x:v>
      </x:c>
      <x:c r="P221" s="3" t="n">
        <x:v>23067732</x:v>
      </x:c>
      <x:c r="Q221" s="3" t="n">
        <x:v>18573952</x:v>
      </x:c>
      <x:c r="R221" s="3" t="n">
        <x:v>28197312</x:v>
      </x:c>
      <x:c r="S221" s="3" t="n">
        <x:v>2637672</x:v>
      </x:c>
      <x:c r="T221" s="2" t="str">
        <x:v>4/3/4</x:v>
      </x:c>
      <x:c r="U221" s="2" t="str">
        <x:v>results/formal_rho_fixed/C2_rho_ring_zipf09_N4096_B64_seed105.json</x:v>
      </x:c>
      <x:c r="V221" s="2" t="str">
        <x:v>61d83f3d09fb28b5843e9fb6065d91680afd960362b10c864363aa716e69322f</x:v>
      </x:c>
    </x:row>
    <x:row r="222" ht="22" customHeight="1">
      <x:c r="A222" s="2" t="str">
        <x:v>C2_rho_sde_hot90_N4096_B64_seed101</x:v>
      </x:c>
      <x:c r="B222" s="2" t="str">
        <x:v>rho</x:v>
      </x:c>
      <x:c r="C222" s="2" t="str">
        <x:v>hot90</x:v>
      </x:c>
      <x:c r="D222" s="2" t="str">
        <x:v>sde</x:v>
      </x:c>
      <x:c r="E222" s="3" t="n">
        <x:v>101</x:v>
      </x:c>
      <x:c r="F222" s="3" t="n">
        <x:v>4096</x:v>
      </x:c>
      <x:c r="G222" s="3" t="n">
        <x:v>64</x:v>
      </x:c>
      <x:c r="H222" s="3" t="n">
        <x:v>4096</x:v>
      </x:c>
      <x:c r="I222" s="3" t="n">
        <x:v>29697040</x:v>
      </x:c>
      <x:c r="J222" s="3" t="n">
        <x:v>14658304</x:v>
      </x:c>
      <x:c r="K222" s="3" t="n">
        <x:v>15038736</x:v>
      </x:c>
      <x:c r="L222" s="3" t="n">
        <x:v>6100</x:v>
      </x:c>
      <x:c r="M222" s="3" t="n">
        <x:v>6411520</x:v>
      </x:c>
      <x:c r="N222" s="3" t="n">
        <x:v>4690560</x:v>
      </x:c>
      <x:c r="O222" s="3" t="n">
        <x:v>5713584</x:v>
      </x:c>
      <x:c r="P222" s="3" t="n">
        <x:v>5713584</x:v>
      </x:c>
      <x:c r="Q222" s="3" t="n">
        <x:v>2313600</x:v>
      </x:c>
      <x:c r="R222" s="3" t="n">
        <x:v>4292992</x:v>
      </x:c>
      <x:c r="S222" s="3" t="n">
        <x:v>561200</x:v>
      </x:c>
      <x:c r="T222" s="2" t="str">
        <x:v>4/3/4</x:v>
      </x:c>
      <x:c r="U222" s="2" t="str">
        <x:v>results/formal_rho_fixed/C2_rho_sde_hot90_N4096_B64_seed101.json</x:v>
      </x:c>
      <x:c r="V222" s="2" t="str">
        <x:v>6cdd4098fab135297a7d9f2caf2e276416ab42bb860e39bce62ad7a5fdd6e296</x:v>
      </x:c>
    </x:row>
    <x:row r="223" ht="22" customHeight="1">
      <x:c r="A223" s="2" t="str">
        <x:v>C2_rho_sde_hot90_N4096_B64_seed102</x:v>
      </x:c>
      <x:c r="B223" s="2" t="str">
        <x:v>rho</x:v>
      </x:c>
      <x:c r="C223" s="2" t="str">
        <x:v>hot90</x:v>
      </x:c>
      <x:c r="D223" s="2" t="str">
        <x:v>sde</x:v>
      </x:c>
      <x:c r="E223" s="3" t="n">
        <x:v>102</x:v>
      </x:c>
      <x:c r="F223" s="3" t="n">
        <x:v>4096</x:v>
      </x:c>
      <x:c r="G223" s="3" t="n">
        <x:v>64</x:v>
      </x:c>
      <x:c r="H223" s="3" t="n">
        <x:v>4096</x:v>
      </x:c>
      <x:c r="I223" s="3" t="n">
        <x:v>29878296</x:v>
      </x:c>
      <x:c r="J223" s="3" t="n">
        <x:v>14755328</x:v>
      </x:c>
      <x:c r="K223" s="3" t="n">
        <x:v>15122968</x:v>
      </x:c>
      <x:c r="L223" s="3" t="n">
        <x:v>6126</x:v>
      </x:c>
      <x:c r="M223" s="3" t="n">
        <x:v>6462880</x:v>
      </x:c>
      <x:c r="N223" s="3" t="n">
        <x:v>4710560</x:v>
      </x:c>
      <x:c r="O223" s="3" t="n">
        <x:v>5753256</x:v>
      </x:c>
      <x:c r="P223" s="3" t="n">
        <x:v>5753256</x:v>
      </x:c>
      <x:c r="Q223" s="3" t="n">
        <x:v>2318656</x:v>
      </x:c>
      <x:c r="R223" s="3" t="n">
        <x:v>4316096</x:v>
      </x:c>
      <x:c r="S223" s="3" t="n">
        <x:v>563592</x:v>
      </x:c>
      <x:c r="T223" s="2" t="str">
        <x:v>4/3/4</x:v>
      </x:c>
      <x:c r="U223" s="2" t="str">
        <x:v>results/formal_rho_fixed/C2_rho_sde_hot90_N4096_B64_seed102.json</x:v>
      </x:c>
      <x:c r="V223" s="2" t="str">
        <x:v>d3f3fc3e4c8b1c173efd75645667b6a486af7558cea9b491d06dd92d2c28eb2b</x:v>
      </x:c>
    </x:row>
    <x:row r="224" ht="22" customHeight="1">
      <x:c r="A224" s="2" t="str">
        <x:v>C2_rho_sde_hot90_N4096_B64_seed103</x:v>
      </x:c>
      <x:c r="B224" s="2" t="str">
        <x:v>rho</x:v>
      </x:c>
      <x:c r="C224" s="2" t="str">
        <x:v>hot90</x:v>
      </x:c>
      <x:c r="D224" s="2" t="str">
        <x:v>sde</x:v>
      </x:c>
      <x:c r="E224" s="3" t="n">
        <x:v>103</x:v>
      </x:c>
      <x:c r="F224" s="3" t="n">
        <x:v>4096</x:v>
      </x:c>
      <x:c r="G224" s="3" t="n">
        <x:v>64</x:v>
      </x:c>
      <x:c r="H224" s="3" t="n">
        <x:v>4096</x:v>
      </x:c>
      <x:c r="I224" s="3" t="n">
        <x:v>29767880</x:v>
      </x:c>
      <x:c r="J224" s="3" t="n">
        <x:v>14700456</x:v>
      </x:c>
      <x:c r="K224" s="3" t="n">
        <x:v>15067424</x:v>
      </x:c>
      <x:c r="L224" s="3" t="n">
        <x:v>6102</x:v>
      </x:c>
      <x:c r="M224" s="3" t="n">
        <x:v>6439680</x:v>
      </x:c>
      <x:c r="N224" s="3" t="n">
        <x:v>4694720</x:v>
      </x:c>
      <x:c r="O224" s="3" t="n">
        <x:v>5731536</x:v>
      </x:c>
      <x:c r="P224" s="3" t="n">
        <x:v>5731536</x:v>
      </x:c>
      <x:c r="Q224" s="3" t="n">
        <x:v>2309568</x:v>
      </x:c>
      <x:c r="R224" s="3" t="n">
        <x:v>4299456</x:v>
      </x:c>
      <x:c r="S224" s="3" t="n">
        <x:v>561384</x:v>
      </x:c>
      <x:c r="T224" s="2" t="str">
        <x:v>4/3/4</x:v>
      </x:c>
      <x:c r="U224" s="2" t="str">
        <x:v>results/formal_rho_fixed/C2_rho_sde_hot90_N4096_B64_seed103.json</x:v>
      </x:c>
      <x:c r="V224" s="2" t="str">
        <x:v>047eeed7fbd4da9a4c7ee6734e912af5d4c3f0bcce02de71a86cd951bed15771</x:v>
      </x:c>
    </x:row>
    <x:row r="225" ht="22" customHeight="1">
      <x:c r="A225" s="2" t="str">
        <x:v>C2_rho_sde_hot90_N4096_B64_seed104</x:v>
      </x:c>
      <x:c r="B225" s="2" t="str">
        <x:v>rho</x:v>
      </x:c>
      <x:c r="C225" s="2" t="str">
        <x:v>hot90</x:v>
      </x:c>
      <x:c r="D225" s="2" t="str">
        <x:v>sde</x:v>
      </x:c>
      <x:c r="E225" s="3" t="n">
        <x:v>104</x:v>
      </x:c>
      <x:c r="F225" s="3" t="n">
        <x:v>4096</x:v>
      </x:c>
      <x:c r="G225" s="3" t="n">
        <x:v>64</x:v>
      </x:c>
      <x:c r="H225" s="3" t="n">
        <x:v>4096</x:v>
      </x:c>
      <x:c r="I225" s="3" t="n">
        <x:v>30118080</x:v>
      </x:c>
      <x:c r="J225" s="3" t="n">
        <x:v>14874184</x:v>
      </x:c>
      <x:c r="K225" s="3" t="n">
        <x:v>15243896</x:v>
      </x:c>
      <x:c r="L225" s="3" t="n">
        <x:v>6172</x:v>
      </x:c>
      <x:c r="M225" s="3" t="n">
        <x:v>6517120</x:v>
      </x:c>
      <x:c r="N225" s="3" t="n">
        <x:v>4749440</x:v>
      </x:c>
      <x:c r="O225" s="3" t="n">
        <x:v>5799384</x:v>
      </x:c>
      <x:c r="P225" s="3" t="n">
        <x:v>5799384</x:v>
      </x:c>
      <x:c r="Q225" s="3" t="n">
        <x:v>2335488</x:v>
      </x:c>
      <x:c r="R225" s="3" t="n">
        <x:v>4349440</x:v>
      </x:c>
      <x:c r="S225" s="3" t="n">
        <x:v>567824</x:v>
      </x:c>
      <x:c r="T225" s="2" t="str">
        <x:v>4/3/4</x:v>
      </x:c>
      <x:c r="U225" s="2" t="str">
        <x:v>results/formal_rho_fixed/C2_rho_sde_hot90_N4096_B64_seed104.json</x:v>
      </x:c>
      <x:c r="V225" s="2" t="str">
        <x:v>c70b209c9d981139da0be1a148fa8932d6cd2902df2185a9127fea1090b4d4b5</x:v>
      </x:c>
    </x:row>
    <x:row r="226" ht="22" customHeight="1">
      <x:c r="A226" s="2" t="str">
        <x:v>C2_rho_sde_hot90_N4096_B64_seed105</x:v>
      </x:c>
      <x:c r="B226" s="2" t="str">
        <x:v>rho</x:v>
      </x:c>
      <x:c r="C226" s="2" t="str">
        <x:v>hot90</x:v>
      </x:c>
      <x:c r="D226" s="2" t="str">
        <x:v>sde</x:v>
      </x:c>
      <x:c r="E226" s="3" t="n">
        <x:v>105</x:v>
      </x:c>
      <x:c r="F226" s="3" t="n">
        <x:v>4096</x:v>
      </x:c>
      <x:c r="G226" s="3" t="n">
        <x:v>64</x:v>
      </x:c>
      <x:c r="H226" s="3" t="n">
        <x:v>4096</x:v>
      </x:c>
      <x:c r="I226" s="3" t="n">
        <x:v>30137736</x:v>
      </x:c>
      <x:c r="J226" s="3" t="n">
        <x:v>14886604</x:v>
      </x:c>
      <x:c r="K226" s="3" t="n">
        <x:v>15251132</x:v>
      </x:c>
      <x:c r="L226" s="3" t="n">
        <x:v>6172</x:v>
      </x:c>
      <x:c r="M226" s="3" t="n">
        <x:v>6525760</x:v>
      </x:c>
      <x:c r="N226" s="3" t="n">
        <x:v>4749440</x:v>
      </x:c>
      <x:c r="O226" s="3" t="n">
        <x:v>5804892</x:v>
      </x:c>
      <x:c r="P226" s="3" t="n">
        <x:v>5804892</x:v>
      </x:c>
      <x:c r="Q226" s="3" t="n">
        <x:v>2333760</x:v>
      </x:c>
      <x:c r="R226" s="3" t="n">
        <x:v>4351168</x:v>
      </x:c>
      <x:c r="S226" s="3" t="n">
        <x:v>567824</x:v>
      </x:c>
      <x:c r="T226" s="2" t="str">
        <x:v>4/3/4</x:v>
      </x:c>
      <x:c r="U226" s="2" t="str">
        <x:v>results/formal_rho_fixed/C2_rho_sde_hot90_N4096_B64_seed105.json</x:v>
      </x:c>
      <x:c r="V226" s="2" t="str">
        <x:v>e43980d5388b93ef3be72427c020834615fa14e42b2183af3709a613dfb69c59</x:v>
      </x:c>
    </x:row>
    <x:row r="227" ht="22" customHeight="1">
      <x:c r="A227" s="2" t="str">
        <x:v>C2_rho_sde_scan_N4096_B64_seed101</x:v>
      </x:c>
      <x:c r="B227" s="2" t="str">
        <x:v>rho</x:v>
      </x:c>
      <x:c r="C227" s="2" t="str">
        <x:v>scan</x:v>
      </x:c>
      <x:c r="D227" s="2" t="str">
        <x:v>sde</x:v>
      </x:c>
      <x:c r="E227" s="3" t="n">
        <x:v>101</x:v>
      </x:c>
      <x:c r="F227" s="3" t="n">
        <x:v>4096</x:v>
      </x:c>
      <x:c r="G227" s="3" t="n">
        <x:v>64</x:v>
      </x:c>
      <x:c r="H227" s="3" t="n">
        <x:v>4096</x:v>
      </x:c>
      <x:c r="I227" s="3" t="n">
        <x:v>173123416</x:v>
      </x:c>
      <x:c r="J227" s="3" t="n">
        <x:v>85490664</x:v>
      </x:c>
      <x:c r="K227" s="3" t="n">
        <x:v>87632752</x:v>
      </x:c>
      <x:c r="L227" s="3" t="n">
        <x:v>35498</x:v>
      </x:c>
      <x:c r="M227" s="3" t="n">
        <x:v>37442560</x:v>
      </x:c>
      <x:c r="N227" s="3" t="n">
        <x:v>27305280</x:v>
      </x:c>
      <x:c r="O227" s="3" t="n">
        <x:v>33331392</x:v>
      </x:c>
      <x:c r="P227" s="3" t="n">
        <x:v>33331392</x:v>
      </x:c>
      <x:c r="Q227" s="3" t="n">
        <x:v>13438784</x:v>
      </x:c>
      <x:c r="R227" s="3" t="n">
        <x:v>25008192</x:v>
      </x:c>
      <x:c r="S227" s="3" t="n">
        <x:v>3265816</x:v>
      </x:c>
      <x:c r="T227" s="2" t="str">
        <x:v>4/3/4</x:v>
      </x:c>
      <x:c r="U227" s="2" t="str">
        <x:v>results/formal_rho_fixed/C2_rho_sde_scan_N4096_B64_seed101.json</x:v>
      </x:c>
      <x:c r="V227" s="2" t="str">
        <x:v>c6bc300b74f5c876bba7e2f0dad043835fc710c56fdebbd78515c328370e6579</x:v>
      </x:c>
    </x:row>
    <x:row r="228" ht="22" customHeight="1">
      <x:c r="A228" s="2" t="str">
        <x:v>C2_rho_sde_scan_N4096_B64_seed102</x:v>
      </x:c>
      <x:c r="B228" s="2" t="str">
        <x:v>rho</x:v>
      </x:c>
      <x:c r="C228" s="2" t="str">
        <x:v>scan</x:v>
      </x:c>
      <x:c r="D228" s="2" t="str">
        <x:v>sde</x:v>
      </x:c>
      <x:c r="E228" s="3" t="n">
        <x:v>102</x:v>
      </x:c>
      <x:c r="F228" s="3" t="n">
        <x:v>4096</x:v>
      </x:c>
      <x:c r="G228" s="3" t="n">
        <x:v>64</x:v>
      </x:c>
      <x:c r="H228" s="3" t="n">
        <x:v>4096</x:v>
      </x:c>
      <x:c r="I228" s="3" t="n">
        <x:v>173112496</x:v>
      </x:c>
      <x:c r="J228" s="3" t="n">
        <x:v>85483764</x:v>
      </x:c>
      <x:c r="K228" s="3" t="n">
        <x:v>87628732</x:v>
      </x:c>
      <x:c r="L228" s="3" t="n">
        <x:v>35498</x:v>
      </x:c>
      <x:c r="M228" s="3" t="n">
        <x:v>37437760</x:v>
      </x:c>
      <x:c r="N228" s="3" t="n">
        <x:v>27305280</x:v>
      </x:c>
      <x:c r="O228" s="3" t="n">
        <x:v>33328332</x:v>
      </x:c>
      <x:c r="P228" s="3" t="n">
        <x:v>33328332</x:v>
      </x:c>
      <x:c r="Q228" s="3" t="n">
        <x:v>13439744</x:v>
      </x:c>
      <x:c r="R228" s="3" t="n">
        <x:v>25007232</x:v>
      </x:c>
      <x:c r="S228" s="3" t="n">
        <x:v>3265816</x:v>
      </x:c>
      <x:c r="T228" s="2" t="str">
        <x:v>4/3/4</x:v>
      </x:c>
      <x:c r="U228" s="2" t="str">
        <x:v>results/formal_rho_fixed/C2_rho_sde_scan_N4096_B64_seed102.json</x:v>
      </x:c>
      <x:c r="V228" s="2" t="str">
        <x:v>949ce3bc42a74250b2c4795efca395e20034aaff31aed9e3145d8c9653a14a05</x:v>
      </x:c>
    </x:row>
    <x:row r="229" ht="22" customHeight="1">
      <x:c r="A229" s="2" t="str">
        <x:v>C2_rho_sde_scan_N4096_B64_seed103</x:v>
      </x:c>
      <x:c r="B229" s="2" t="str">
        <x:v>rho</x:v>
      </x:c>
      <x:c r="C229" s="2" t="str">
        <x:v>scan</x:v>
      </x:c>
      <x:c r="D229" s="2" t="str">
        <x:v>sde</x:v>
      </x:c>
      <x:c r="E229" s="3" t="n">
        <x:v>103</x:v>
      </x:c>
      <x:c r="F229" s="3" t="n">
        <x:v>4096</x:v>
      </x:c>
      <x:c r="G229" s="3" t="n">
        <x:v>64</x:v>
      </x:c>
      <x:c r="H229" s="3" t="n">
        <x:v>4096</x:v>
      </x:c>
      <x:c r="I229" s="3" t="n">
        <x:v>173204224</x:v>
      </x:c>
      <x:c r="J229" s="3" t="n">
        <x:v>85541724</x:v>
      </x:c>
      <x:c r="K229" s="3" t="n">
        <x:v>87662500</x:v>
      </x:c>
      <x:c r="L229" s="3" t="n">
        <x:v>35498</x:v>
      </x:c>
      <x:c r="M229" s="3" t="n">
        <x:v>37478080</x:v>
      </x:c>
      <x:c r="N229" s="3" t="n">
        <x:v>27305280</x:v>
      </x:c>
      <x:c r="O229" s="3" t="n">
        <x:v>33354036</x:v>
      </x:c>
      <x:c r="P229" s="3" t="n">
        <x:v>33354036</x:v>
      </x:c>
      <x:c r="Q229" s="3" t="n">
        <x:v>13431680</x:v>
      </x:c>
      <x:c r="R229" s="3" t="n">
        <x:v>25015296</x:v>
      </x:c>
      <x:c r="S229" s="3" t="n">
        <x:v>3265816</x:v>
      </x:c>
      <x:c r="T229" s="2" t="str">
        <x:v>4/3/4</x:v>
      </x:c>
      <x:c r="U229" s="2" t="str">
        <x:v>results/formal_rho_fixed/C2_rho_sde_scan_N4096_B64_seed103.json</x:v>
      </x:c>
      <x:c r="V229" s="2" t="str">
        <x:v>6841bc7a3282340dcc92700ae472e8f14ff08610ace14bbdd5ea2269c19fe805</x:v>
      </x:c>
    </x:row>
    <x:row r="230" ht="22" customHeight="1">
      <x:c r="A230" s="2" t="str">
        <x:v>C2_rho_sde_scan_N4096_B64_seed104</x:v>
      </x:c>
      <x:c r="B230" s="2" t="str">
        <x:v>rho</x:v>
      </x:c>
      <x:c r="C230" s="2" t="str">
        <x:v>scan</x:v>
      </x:c>
      <x:c r="D230" s="2" t="str">
        <x:v>sde</x:v>
      </x:c>
      <x:c r="E230" s="3" t="n">
        <x:v>104</x:v>
      </x:c>
      <x:c r="F230" s="3" t="n">
        <x:v>4096</x:v>
      </x:c>
      <x:c r="G230" s="3" t="n">
        <x:v>64</x:v>
      </x:c>
      <x:c r="H230" s="3" t="n">
        <x:v>4096</x:v>
      </x:c>
      <x:c r="I230" s="3" t="n">
        <x:v>173176560</x:v>
      </x:c>
      <x:c r="J230" s="3" t="n">
        <x:v>85524244</x:v>
      </x:c>
      <x:c r="K230" s="3" t="n">
        <x:v>87652316</x:v>
      </x:c>
      <x:c r="L230" s="3" t="n">
        <x:v>35498</x:v>
      </x:c>
      <x:c r="M230" s="3" t="n">
        <x:v>37465920</x:v>
      </x:c>
      <x:c r="N230" s="3" t="n">
        <x:v>27305280</x:v>
      </x:c>
      <x:c r="O230" s="3" t="n">
        <x:v>33346284</x:v>
      </x:c>
      <x:c r="P230" s="3" t="n">
        <x:v>33346284</x:v>
      </x:c>
      <x:c r="Q230" s="3" t="n">
        <x:v>13434112</x:v>
      </x:c>
      <x:c r="R230" s="3" t="n">
        <x:v>25012864</x:v>
      </x:c>
      <x:c r="S230" s="3" t="n">
        <x:v>3265816</x:v>
      </x:c>
      <x:c r="T230" s="2" t="str">
        <x:v>4/3/4</x:v>
      </x:c>
      <x:c r="U230" s="2" t="str">
        <x:v>results/formal_rho_fixed/C2_rho_sde_scan_N4096_B64_seed104.json</x:v>
      </x:c>
      <x:c r="V230" s="2" t="str">
        <x:v>435de68fad1b2a2195ba79887afcf2e872ce63fac4661ab4d7814c73268c4f8e</x:v>
      </x:c>
    </x:row>
    <x:row r="231" ht="22" customHeight="1">
      <x:c r="A231" s="2" t="str">
        <x:v>C2_rho_sde_scan_N4096_B64_seed105</x:v>
      </x:c>
      <x:c r="B231" s="2" t="str">
        <x:v>rho</x:v>
      </x:c>
      <x:c r="C231" s="2" t="str">
        <x:v>scan</x:v>
      </x:c>
      <x:c r="D231" s="2" t="str">
        <x:v>sde</x:v>
      </x:c>
      <x:c r="E231" s="3" t="n">
        <x:v>105</x:v>
      </x:c>
      <x:c r="F231" s="3" t="n">
        <x:v>4096</x:v>
      </x:c>
      <x:c r="G231" s="3" t="n">
        <x:v>64</x:v>
      </x:c>
      <x:c r="H231" s="3" t="n">
        <x:v>4096</x:v>
      </x:c>
      <x:c r="I231" s="3" t="n">
        <x:v>173164912</x:v>
      </x:c>
      <x:c r="J231" s="3" t="n">
        <x:v>85516884</x:v>
      </x:c>
      <x:c r="K231" s="3" t="n">
        <x:v>87648028</x:v>
      </x:c>
      <x:c r="L231" s="3" t="n">
        <x:v>35498</x:v>
      </x:c>
      <x:c r="M231" s="3" t="n">
        <x:v>37460800</x:v>
      </x:c>
      <x:c r="N231" s="3" t="n">
        <x:v>27305280</x:v>
      </x:c>
      <x:c r="O231" s="3" t="n">
        <x:v>33343020</x:v>
      </x:c>
      <x:c r="P231" s="3" t="n">
        <x:v>33343020</x:v>
      </x:c>
      <x:c r="Q231" s="3" t="n">
        <x:v>13435136</x:v>
      </x:c>
      <x:c r="R231" s="3" t="n">
        <x:v>25011840</x:v>
      </x:c>
      <x:c r="S231" s="3" t="n">
        <x:v>3265816</x:v>
      </x:c>
      <x:c r="T231" s="2" t="str">
        <x:v>4/3/4</x:v>
      </x:c>
      <x:c r="U231" s="2" t="str">
        <x:v>results/formal_rho_fixed/C2_rho_sde_scan_N4096_B64_seed105.json</x:v>
      </x:c>
      <x:c r="V231" s="2" t="str">
        <x:v>1fcd45996931cab71f657be44a308503f9e0685b77cf8ff3c8896dbca9ee2822</x:v>
      </x:c>
    </x:row>
    <x:row r="232" ht="22" customHeight="1">
      <x:c r="A232" s="2" t="str">
        <x:v>C2_rho_sde_uniform_N4096_B64_seed101</x:v>
      </x:c>
      <x:c r="B232" s="2" t="str">
        <x:v>rho</x:v>
      </x:c>
      <x:c r="C232" s="2" t="str">
        <x:v>uniform</x:v>
      </x:c>
      <x:c r="D232" s="2" t="str">
        <x:v>sde</x:v>
      </x:c>
      <x:c r="E232" s="3" t="n">
        <x:v>101</x:v>
      </x:c>
      <x:c r="F232" s="3" t="n">
        <x:v>4096</x:v>
      </x:c>
      <x:c r="G232" s="3" t="n">
        <x:v>64</x:v>
      </x:c>
      <x:c r="H232" s="3" t="n">
        <x:v>4096</x:v>
      </x:c>
      <x:c r="I232" s="3" t="n">
        <x:v>166726792</x:v>
      </x:c>
      <x:c r="J232" s="3" t="n">
        <x:v>82339032</x:v>
      </x:c>
      <x:c r="K232" s="3" t="n">
        <x:v>84387760</x:v>
      </x:c>
      <x:c r="L232" s="3" t="n">
        <x:v>34174</x:v>
      </x:c>
      <x:c r="M232" s="3" t="n">
        <x:v>36071840</x:v>
      </x:c>
      <x:c r="N232" s="3" t="n">
        <x:v>26289440</x:v>
      </x:c>
      <x:c r="O232" s="3" t="n">
        <x:v>32104128</x:v>
      </x:c>
      <x:c r="P232" s="3" t="n">
        <x:v>32104128</x:v>
      </x:c>
      <x:c r="Q232" s="3" t="n">
        <x:v>12932800</x:v>
      </x:c>
      <x:c r="R232" s="3" t="n">
        <x:v>24080448</x:v>
      </x:c>
      <x:c r="S232" s="3" t="n">
        <x:v>3144008</x:v>
      </x:c>
      <x:c r="T232" s="2" t="str">
        <x:v>4/3/4</x:v>
      </x:c>
      <x:c r="U232" s="2" t="str">
        <x:v>results/formal_rho_fixed/C2_rho_sde_uniform_N4096_B64_seed101.json</x:v>
      </x:c>
      <x:c r="V232" s="2" t="str">
        <x:v>da2739512448dafd748f437a9dcfc1ab4931a5523d338315b22285ead8a22773</x:v>
      </x:c>
    </x:row>
    <x:row r="233" ht="22" customHeight="1">
      <x:c r="A233" s="2" t="str">
        <x:v>C2_rho_sde_uniform_N4096_B64_seed102</x:v>
      </x:c>
      <x:c r="B233" s="2" t="str">
        <x:v>rho</x:v>
      </x:c>
      <x:c r="C233" s="2" t="str">
        <x:v>uniform</x:v>
      </x:c>
      <x:c r="D233" s="2" t="str">
        <x:v>sde</x:v>
      </x:c>
      <x:c r="E233" s="3" t="n">
        <x:v>102</x:v>
      </x:c>
      <x:c r="F233" s="3" t="n">
        <x:v>4096</x:v>
      </x:c>
      <x:c r="G233" s="3" t="n">
        <x:v>64</x:v>
      </x:c>
      <x:c r="H233" s="3" t="n">
        <x:v>4096</x:v>
      </x:c>
      <x:c r="I233" s="3" t="n">
        <x:v>166312528</x:v>
      </x:c>
      <x:c r="J233" s="3" t="n">
        <x:v>82124824</x:v>
      </x:c>
      <x:c r="K233" s="3" t="n">
        <x:v>84187704</x:v>
      </x:c>
      <x:c r="L233" s="3" t="n">
        <x:v>34104</x:v>
      </x:c>
      <x:c r="M233" s="3" t="n">
        <x:v>35966240</x:v>
      </x:c>
      <x:c r="N233" s="3" t="n">
        <x:v>26234720</x:v>
      </x:c>
      <x:c r="O233" s="3" t="n">
        <x:v>32018328</x:v>
      </x:c>
      <x:c r="P233" s="3" t="n">
        <x:v>32018328</x:v>
      </x:c>
      <x:c r="Q233" s="3" t="n">
        <x:v>12912512</x:v>
      </x:c>
      <x:c r="R233" s="3" t="n">
        <x:v>24024832</x:v>
      </x:c>
      <x:c r="S233" s="3" t="n">
        <x:v>3137568</x:v>
      </x:c>
      <x:c r="T233" s="2" t="str">
        <x:v>4/3/4</x:v>
      </x:c>
      <x:c r="U233" s="2" t="str">
        <x:v>results/formal_rho_fixed/C2_rho_sde_uniform_N4096_B64_seed102.json</x:v>
      </x:c>
      <x:c r="V233" s="2" t="str">
        <x:v>98969a12464144e6d38a42567e5a5485c55191d9222290badb17ce1d54fc6926</x:v>
      </x:c>
    </x:row>
    <x:row r="234" ht="22" customHeight="1">
      <x:c r="A234" s="2" t="str">
        <x:v>C2_rho_sde_uniform_N4096_B64_seed103</x:v>
      </x:c>
      <x:c r="B234" s="2" t="str">
        <x:v>rho</x:v>
      </x:c>
      <x:c r="C234" s="2" t="str">
        <x:v>uniform</x:v>
      </x:c>
      <x:c r="D234" s="2" t="str">
        <x:v>sde</x:v>
      </x:c>
      <x:c r="E234" s="3" t="n">
        <x:v>103</x:v>
      </x:c>
      <x:c r="F234" s="3" t="n">
        <x:v>4096</x:v>
      </x:c>
      <x:c r="G234" s="3" t="n">
        <x:v>64</x:v>
      </x:c>
      <x:c r="H234" s="3" t="n">
        <x:v>4096</x:v>
      </x:c>
      <x:c r="I234" s="3" t="n">
        <x:v>166308664</x:v>
      </x:c>
      <x:c r="J234" s="3" t="n">
        <x:v>82124992</x:v>
      </x:c>
      <x:c r="K234" s="3" t="n">
        <x:v>84183672</x:v>
      </x:c>
      <x:c r="L234" s="3" t="n">
        <x:v>34102</x:v>
      </x:c>
      <x:c r="M234" s="3" t="n">
        <x:v>35967520</x:v>
      </x:c>
      <x:c r="N234" s="3" t="n">
        <x:v>26230560</x:v>
      </x:c>
      <x:c r="O234" s="3" t="n">
        <x:v>32019144</x:v>
      </x:c>
      <x:c r="P234" s="3" t="n">
        <x:v>32019144</x:v>
      </x:c>
      <x:c r="Q234" s="3" t="n">
        <x:v>12910656</x:v>
      </x:c>
      <x:c r="R234" s="3" t="n">
        <x:v>24024256</x:v>
      </x:c>
      <x:c r="S234" s="3" t="n">
        <x:v>3137384</x:v>
      </x:c>
      <x:c r="T234" s="2" t="str">
        <x:v>4/3/4</x:v>
      </x:c>
      <x:c r="U234" s="2" t="str">
        <x:v>results/formal_rho_fixed/C2_rho_sde_uniform_N4096_B64_seed103.json</x:v>
      </x:c>
      <x:c r="V234" s="2" t="str">
        <x:v>72c028e33c9815d05d19f5a2a254eaa813aad759e168802b518a0a0baf549c23</x:v>
      </x:c>
    </x:row>
    <x:row r="235" ht="22" customHeight="1">
      <x:c r="A235" s="2" t="str">
        <x:v>C2_rho_sde_uniform_N4096_B64_seed104</x:v>
      </x:c>
      <x:c r="B235" s="2" t="str">
        <x:v>rho</x:v>
      </x:c>
      <x:c r="C235" s="2" t="str">
        <x:v>uniform</x:v>
      </x:c>
      <x:c r="D235" s="2" t="str">
        <x:v>sde</x:v>
      </x:c>
      <x:c r="E235" s="3" t="n">
        <x:v>104</x:v>
      </x:c>
      <x:c r="F235" s="3" t="n">
        <x:v>4096</x:v>
      </x:c>
      <x:c r="G235" s="3" t="n">
        <x:v>64</x:v>
      </x:c>
      <x:c r="H235" s="3" t="n">
        <x:v>4096</x:v>
      </x:c>
      <x:c r="I235" s="3" t="n">
        <x:v>166143016</x:v>
      </x:c>
      <x:c r="J235" s="3" t="n">
        <x:v>82057692</x:v>
      </x:c>
      <x:c r="K235" s="3" t="n">
        <x:v>84085324</x:v>
      </x:c>
      <x:c r="L235" s="3" t="n">
        <x:v>34044</x:v>
      </x:c>
      <x:c r="M235" s="3" t="n">
        <x:v>35956800</x:v>
      </x:c>
      <x:c r="N235" s="3" t="n">
        <x:v>26189440</x:v>
      </x:c>
      <x:c r="O235" s="3" t="n">
        <x:v>31996140</x:v>
      </x:c>
      <x:c r="P235" s="3" t="n">
        <x:v>31996140</x:v>
      </x:c>
      <x:c r="Q235" s="3" t="n">
        <x:v>12879168</x:v>
      </x:c>
      <x:c r="R235" s="3" t="n">
        <x:v>23993280</x:v>
      </x:c>
      <x:c r="S235" s="3" t="n">
        <x:v>3132048</x:v>
      </x:c>
      <x:c r="T235" s="2" t="str">
        <x:v>4/3/4</x:v>
      </x:c>
      <x:c r="U235" s="2" t="str">
        <x:v>results/formal_rho_fixed/C2_rho_sde_uniform_N4096_B64_seed104.json</x:v>
      </x:c>
      <x:c r="V235" s="2" t="str">
        <x:v>31f51431f2ce8e42f392083c2c71a1245223513e2582ab68b736bd4ab16fa6c0</x:v>
      </x:c>
    </x:row>
    <x:row r="236" ht="22" customHeight="1">
      <x:c r="A236" s="2" t="str">
        <x:v>C2_rho_sde_uniform_N4096_B64_seed105</x:v>
      </x:c>
      <x:c r="B236" s="2" t="str">
        <x:v>rho</x:v>
      </x:c>
      <x:c r="C236" s="2" t="str">
        <x:v>uniform</x:v>
      </x:c>
      <x:c r="D236" s="2" t="str">
        <x:v>sde</x:v>
      </x:c>
      <x:c r="E236" s="3" t="n">
        <x:v>105</x:v>
      </x:c>
      <x:c r="F236" s="3" t="n">
        <x:v>4096</x:v>
      </x:c>
      <x:c r="G236" s="3" t="n">
        <x:v>64</x:v>
      </x:c>
      <x:c r="H236" s="3" t="n">
        <x:v>4096</x:v>
      </x:c>
      <x:c r="I236" s="3" t="n">
        <x:v>166115128</x:v>
      </x:c>
      <x:c r="J236" s="3" t="n">
        <x:v>82042680</x:v>
      </x:c>
      <x:c r="K236" s="3" t="n">
        <x:v>84072448</x:v>
      </x:c>
      <x:c r="L236" s="3" t="n">
        <x:v>34042</x:v>
      </x:c>
      <x:c r="M236" s="3" t="n">
        <x:v>35947520</x:v>
      </x:c>
      <x:c r="N236" s="3" t="n">
        <x:v>26185280</x:v>
      </x:c>
      <x:c r="O236" s="3" t="n">
        <x:v>31990224</x:v>
      </x:c>
      <x:c r="P236" s="3" t="n">
        <x:v>31990224</x:v>
      </x:c>
      <x:c r="Q236" s="3" t="n">
        <x:v>12879424</x:v>
      </x:c>
      <x:c r="R236" s="3" t="n">
        <x:v>23990592</x:v>
      </x:c>
      <x:c r="S236" s="3" t="n">
        <x:v>3131864</x:v>
      </x:c>
      <x:c r="T236" s="2" t="str">
        <x:v>4/3/4</x:v>
      </x:c>
      <x:c r="U236" s="2" t="str">
        <x:v>results/formal_rho_fixed/C2_rho_sde_uniform_N4096_B64_seed105.json</x:v>
      </x:c>
      <x:c r="V236" s="2" t="str">
        <x:v>ef8c6b27be8a93bcc38d93e15527f99f7722c2cbd189b4f9d4f5b785fd04f6f8</x:v>
      </x:c>
    </x:row>
    <x:row r="237" ht="22" customHeight="1">
      <x:c r="A237" s="2" t="str">
        <x:v>C2_rho_sde_zipf09_N4096_B64_seed101</x:v>
      </x:c>
      <x:c r="B237" s="2" t="str">
        <x:v>rho</x:v>
      </x:c>
      <x:c r="C237" s="2" t="str">
        <x:v>zipf09</x:v>
      </x:c>
      <x:c r="D237" s="2" t="str">
        <x:v>sde</x:v>
      </x:c>
      <x:c r="E237" s="3" t="n">
        <x:v>101</x:v>
      </x:c>
      <x:c r="F237" s="3" t="n">
        <x:v>4096</x:v>
      </x:c>
      <x:c r="G237" s="3" t="n">
        <x:v>64</x:v>
      </x:c>
      <x:c r="H237" s="3" t="n">
        <x:v>4096</x:v>
      </x:c>
      <x:c r="I237" s="3" t="n">
        <x:v>109262000</x:v>
      </x:c>
      <x:c r="J237" s="3" t="n">
        <x:v>53954064</x:v>
      </x:c>
      <x:c r="K237" s="3" t="n">
        <x:v>55307936</x:v>
      </x:c>
      <x:c r="L237" s="3" t="n">
        <x:v>22404</x:v>
      </x:c>
      <x:c r="M237" s="3" t="n">
        <x:v>23629920</x:v>
      </x:c>
      <x:c r="N237" s="3" t="n">
        <x:v>17234720</x:v>
      </x:c>
      <x:c r="O237" s="3" t="n">
        <x:v>21035424</x:v>
      </x:c>
      <x:c r="P237" s="3" t="n">
        <x:v>21035424</x:v>
      </x:c>
      <x:c r="Q237" s="3" t="n">
        <x:v>8482176</x:v>
      </x:c>
      <x:c r="R237" s="3" t="n">
        <x:v>15783168</x:v>
      </x:c>
      <x:c r="S237" s="3" t="n">
        <x:v>2061168</x:v>
      </x:c>
      <x:c r="T237" s="2" t="str">
        <x:v>4/3/4</x:v>
      </x:c>
      <x:c r="U237" s="2" t="str">
        <x:v>results/formal_rho_fixed/C2_rho_sde_zipf09_N4096_B64_seed101.json</x:v>
      </x:c>
      <x:c r="V237" s="2" t="str">
        <x:v>bd00eebdc910276991b6f827c62f82ef71f554bf57169060955518562703be39</x:v>
      </x:c>
    </x:row>
    <x:row r="238" ht="22" customHeight="1">
      <x:c r="A238" s="2" t="str">
        <x:v>C2_rho_sde_zipf09_N4096_B64_seed102</x:v>
      </x:c>
      <x:c r="B238" s="2" t="str">
        <x:v>rho</x:v>
      </x:c>
      <x:c r="C238" s="2" t="str">
        <x:v>zipf09</x:v>
      </x:c>
      <x:c r="D238" s="2" t="str">
        <x:v>sde</x:v>
      </x:c>
      <x:c r="E238" s="3" t="n">
        <x:v>102</x:v>
      </x:c>
      <x:c r="F238" s="3" t="n">
        <x:v>4096</x:v>
      </x:c>
      <x:c r="G238" s="3" t="n">
        <x:v>64</x:v>
      </x:c>
      <x:c r="H238" s="3" t="n">
        <x:v>4096</x:v>
      </x:c>
      <x:c r="I238" s="3" t="n">
        <x:v>106342440</x:v>
      </x:c>
      <x:c r="J238" s="3" t="n">
        <x:v>52516888</x:v>
      </x:c>
      <x:c r="K238" s="3" t="n">
        <x:v>53825552</x:v>
      </x:c>
      <x:c r="L238" s="3" t="n">
        <x:v>21798</x:v>
      </x:c>
      <x:c r="M238" s="3" t="n">
        <x:v>23006240</x:v>
      </x:c>
      <x:c r="N238" s="3" t="n">
        <x:v>16769440</x:v>
      </x:c>
      <x:c r="O238" s="3" t="n">
        <x:v>20476128</x:v>
      </x:c>
      <x:c r="P238" s="3" t="n">
        <x:v>20476128</x:v>
      </x:c>
      <x:c r="Q238" s="3" t="n">
        <x:v>8249792</x:v>
      </x:c>
      <x:c r="R238" s="3" t="n">
        <x:v>15359296</x:v>
      </x:c>
      <x:c r="S238" s="3" t="n">
        <x:v>2005416</x:v>
      </x:c>
      <x:c r="T238" s="2" t="str">
        <x:v>4/3/4</x:v>
      </x:c>
      <x:c r="U238" s="2" t="str">
        <x:v>results/formal_rho_fixed/C2_rho_sde_zipf09_N4096_B64_seed102.json</x:v>
      </x:c>
      <x:c r="V238" s="2" t="str">
        <x:v>ce1e0682cf40b4bccbd5e726d86ffbbf505437389e8d2dd4eceac5efa84f465e</x:v>
      </x:c>
    </x:row>
    <x:row r="239" ht="22" customHeight="1">
      <x:c r="A239" s="2" t="str">
        <x:v>C2_rho_sde_zipf09_N4096_B64_seed103</x:v>
      </x:c>
      <x:c r="B239" s="2" t="str">
        <x:v>rho</x:v>
      </x:c>
      <x:c r="C239" s="2" t="str">
        <x:v>zipf09</x:v>
      </x:c>
      <x:c r="D239" s="2" t="str">
        <x:v>sde</x:v>
      </x:c>
      <x:c r="E239" s="3" t="n">
        <x:v>103</x:v>
      </x:c>
      <x:c r="F239" s="3" t="n">
        <x:v>4096</x:v>
      </x:c>
      <x:c r="G239" s="3" t="n">
        <x:v>64</x:v>
      </x:c>
      <x:c r="H239" s="3" t="n">
        <x:v>4096</x:v>
      </x:c>
      <x:c r="I239" s="3" t="n">
        <x:v>109496240</x:v>
      </x:c>
      <x:c r="J239" s="3" t="n">
        <x:v>54074636</x:v>
      </x:c>
      <x:c r="K239" s="3" t="n">
        <x:v>55421604</x:v>
      </x:c>
      <x:c r="L239" s="3" t="n">
        <x:v>22446</x:v>
      </x:c>
      <x:c r="M239" s="3" t="n">
        <x:v>23687680</x:v>
      </x:c>
      <x:c r="N239" s="3" t="n">
        <x:v>17265280</x:v>
      </x:c>
      <x:c r="O239" s="3" t="n">
        <x:v>21083796</x:v>
      </x:c>
      <x:c r="P239" s="3" t="n">
        <x:v>21083796</x:v>
      </x:c>
      <x:c r="Q239" s="3" t="n">
        <x:v>8495104</x:v>
      </x:c>
      <x:c r="R239" s="3" t="n">
        <x:v>15815552</x:v>
      </x:c>
      <x:c r="S239" s="3" t="n">
        <x:v>2065032</x:v>
      </x:c>
      <x:c r="T239" s="2" t="str">
        <x:v>4/3/4</x:v>
      </x:c>
      <x:c r="U239" s="2" t="str">
        <x:v>results/formal_rho_fixed/C2_rho_sde_zipf09_N4096_B64_seed103.json</x:v>
      </x:c>
      <x:c r="V239" s="2" t="str">
        <x:v>354107594daf67162a7d97715558727c14254fcc509e1c8086c9984f7c0fb140</x:v>
      </x:c>
    </x:row>
    <x:row r="240" ht="22" customHeight="1">
      <x:c r="A240" s="2" t="str">
        <x:v>C2_rho_sde_zipf09_N4096_B64_seed104</x:v>
      </x:c>
      <x:c r="B240" s="2" t="str">
        <x:v>rho</x:v>
      </x:c>
      <x:c r="C240" s="2" t="str">
        <x:v>zipf09</x:v>
      </x:c>
      <x:c r="D240" s="2" t="str">
        <x:v>sde</x:v>
      </x:c>
      <x:c r="E240" s="3" t="n">
        <x:v>104</x:v>
      </x:c>
      <x:c r="F240" s="3" t="n">
        <x:v>4096</x:v>
      </x:c>
      <x:c r="G240" s="3" t="n">
        <x:v>64</x:v>
      </x:c>
      <x:c r="H240" s="3" t="n">
        <x:v>4096</x:v>
      </x:c>
      <x:c r="I240" s="3" t="n">
        <x:v>111117432</x:v>
      </x:c>
      <x:c r="J240" s="3" t="n">
        <x:v>54863864</x:v>
      </x:c>
      <x:c r="K240" s="3" t="n">
        <x:v>56253568</x:v>
      </x:c>
      <x:c r="L240" s="3" t="n">
        <x:v>22794</x:v>
      </x:c>
      <x:c r="M240" s="3" t="n">
        <x:v>24020800</x:v>
      </x:c>
      <x:c r="N240" s="3" t="n">
        <x:v>17534720</x:v>
      </x:c>
      <x:c r="O240" s="3" t="n">
        <x:v>21388560</x:v>
      </x:c>
      <x:c r="P240" s="3" t="n">
        <x:v>21388560</x:v>
      </x:c>
      <x:c r="Q240" s="3" t="n">
        <x:v>8633920</x:v>
      </x:c>
      <x:c r="R240" s="3" t="n">
        <x:v>16053824</x:v>
      </x:c>
      <x:c r="S240" s="3" t="n">
        <x:v>2097048</x:v>
      </x:c>
      <x:c r="T240" s="2" t="str">
        <x:v>4/3/4</x:v>
      </x:c>
      <x:c r="U240" s="2" t="str">
        <x:v>results/formal_rho_fixed/C2_rho_sde_zipf09_N4096_B64_seed104.json</x:v>
      </x:c>
      <x:c r="V240" s="2" t="str">
        <x:v>cbb2ec7d43b07726baa9a251d60f319b330954d3afd4e9ae420fb2631ba553ff</x:v>
      </x:c>
    </x:row>
    <x:row r="241" ht="22" customHeight="1">
      <x:c r="A241" s="2" t="str">
        <x:v>C2_rho_sde_zipf09_N4096_B64_seed105</x:v>
      </x:c>
      <x:c r="B241" s="2" t="str">
        <x:v>rho</x:v>
      </x:c>
      <x:c r="C241" s="2" t="str">
        <x:v>zipf09</x:v>
      </x:c>
      <x:c r="D241" s="2" t="str">
        <x:v>sde</x:v>
      </x:c>
      <x:c r="E241" s="3" t="n">
        <x:v>105</x:v>
      </x:c>
      <x:c r="F241" s="3" t="n">
        <x:v>4096</x:v>
      </x:c>
      <x:c r="G241" s="3" t="n">
        <x:v>64</x:v>
      </x:c>
      <x:c r="H241" s="3" t="n">
        <x:v>4096</x:v>
      </x:c>
      <x:c r="I241" s="3" t="n">
        <x:v>105954400</x:v>
      </x:c>
      <x:c r="J241" s="3" t="n">
        <x:v>52336756</x:v>
      </x:c>
      <x:c r="K241" s="3" t="n">
        <x:v>53617644</x:v>
      </x:c>
      <x:c r="L241" s="3" t="n">
        <x:v>21702</x:v>
      </x:c>
      <x:c r="M241" s="3" t="n">
        <x:v>22940480</x:v>
      </x:c>
      <x:c r="N241" s="3" t="n">
        <x:v>16694720</x:v>
      </x:c>
      <x:c r="O241" s="3" t="n">
        <x:v>20408796</x:v>
      </x:c>
      <x:c r="P241" s="3" t="n">
        <x:v>20408796</x:v>
      </x:c>
      <x:c r="Q241" s="3" t="n">
        <x:v>8206208</x:v>
      </x:c>
      <x:c r="R241" s="3" t="n">
        <x:v>15298816</x:v>
      </x:c>
      <x:c r="S241" s="3" t="n">
        <x:v>1996584</x:v>
      </x:c>
      <x:c r="T241" s="2" t="str">
        <x:v>4/3/4</x:v>
      </x:c>
      <x:c r="U241" s="2" t="str">
        <x:v>results/formal_rho_fixed/C2_rho_sde_zipf09_N4096_B64_seed105.json</x:v>
      </x:c>
      <x:c r="V241" s="2" t="str">
        <x:v>62fecc7b1de206246246dc85fff019ade91549ea19eb133726c5964a8c587a7f</x:v>
      </x:c>
    </x:row>
    <x:row r="242" ht="22" customHeight="1">
      <x:c r="A242" s="2"/>
      <x:c r="B242" s="2"/>
      <x:c r="C242" s="2"/>
      <x:c r="D242" s="2"/>
      <x:c r="E242" s="2"/>
      <x:c r="F242" s="2"/>
      <x:c r="G242" s="2"/>
      <x:c r="H242" s="2"/>
      <x:c r="I242" s="2"/>
      <x:c r="J242" s="2"/>
      <x:c r="K242" s="2"/>
      <x:c r="L242" s="2"/>
      <x:c r="M242" s="2"/>
      <x:c r="N242" s="2"/>
      <x:c r="O242" s="2"/>
      <x:c r="P242" s="2"/>
      <x:c r="Q242" s="2"/>
      <x:c r="R242" s="2"/>
      <x:c r="S242" s="2"/>
      <x:c r="T242" s="2"/>
      <x:c r="U242" s="2"/>
      <x:c r="V242" s="2"/>
    </x:row>
  </x:sheetData>
  <x:pageMargins left="0.7" right="0.7" top="0.75" bottom="0.75" header="0.3" footer="0.3"/>
  <x:tableParts count="1">
    <x:tablePart xmlns:r="http://schemas.openxmlformats.org/officeDocument/2006/relationships" r:id="R1ba27de0ab434566"/>
  </x:tableParts>
</x:worksheet>
</file>